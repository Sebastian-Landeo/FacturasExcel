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/>
  <workbookPr filterPrivacy="1"/>
  <xr:revisionPtr revIDLastSave="0" documentId="13_ncr:11_{0224CB89-5517-4AFC-8A34-7C2BDFB0DFE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 simple" sheetId="1" r:id="rId1"/>
    <sheet name="Detalle de facturas" sheetId="2" r:id="rId2"/>
    <sheet name="Clientes" sheetId="3" r:id="rId3"/>
    <sheet name="Productos" sheetId="4" r:id="rId4"/>
  </sheets>
  <definedNames>
    <definedName name="ColumnTitleRegion1..B11.1">'Factura simple'!$B$6</definedName>
    <definedName name="Nombre_empresa">'Factura simple'!$B$1</definedName>
    <definedName name="TítuloColumna1">Factura[[#Headers],[CÓDIGO]]</definedName>
    <definedName name="TítuloFilaRegión1..D5">'Factura simple'!$D$3</definedName>
    <definedName name="_xlnm.Print_Titles" localSheetId="0">'Factura simple'!$12:$12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1" l="1"/>
  <c r="B10" i="1"/>
  <c r="B9" i="1"/>
  <c r="B8" i="1"/>
  <c r="B26" i="1"/>
  <c r="E3" i="1"/>
  <c r="E24" i="1" l="1"/>
</calcChain>
</file>

<file path=xl/sharedStrings.xml><?xml version="1.0" encoding="utf-8"?>
<sst xmlns="http://schemas.openxmlformats.org/spreadsheetml/2006/main" count="109" uniqueCount="108">
  <si>
    <t>Facturar a:</t>
  </si>
  <si>
    <t>DESCRIPCIÓN</t>
  </si>
  <si>
    <t>Si tiene cualquier tipo de pregunta acerca de esta factura, póngase en contacto con Nombre, Número de teléfono o Correo electrónico</t>
  </si>
  <si>
    <t xml:space="preserve">GRACIAS POR SU CONFIANZA </t>
  </si>
  <si>
    <t>FECHA:</t>
  </si>
  <si>
    <t>PARA:</t>
  </si>
  <si>
    <t>Descripción del proyecto o servicio</t>
  </si>
  <si>
    <t>IMPORTE</t>
  </si>
  <si>
    <t xml:space="preserve"> TOTAL </t>
  </si>
  <si>
    <t>CÓDIGO</t>
  </si>
  <si>
    <t>CANTIDAD</t>
  </si>
  <si>
    <t>C.C.Plaza Lima Sur. Av Paseo de la  Republica 355- Chorrillos. Piso 2</t>
  </si>
  <si>
    <t>N.º DE FACTURA:</t>
  </si>
  <si>
    <t>R I P L E Y</t>
  </si>
  <si>
    <t>Trabajamos para cumplir con los sueños de las personas y mejorar su calidad de vida a través de nuestros productos y servicios.</t>
  </si>
  <si>
    <r>
      <rPr>
        <b/>
        <sz val="11"/>
        <rFont val="Roboto"/>
      </rPr>
      <t>Número de télefono:</t>
    </r>
    <r>
      <rPr>
        <sz val="11"/>
        <rFont val="Roboto"/>
      </rPr>
      <t xml:space="preserve"> 970311999</t>
    </r>
  </si>
  <si>
    <t>F A C T U R A</t>
  </si>
  <si>
    <t>NOMBRE</t>
  </si>
  <si>
    <t>NOMBRE DE LA EMPRESA</t>
  </si>
  <si>
    <t>DIRECCION</t>
  </si>
  <si>
    <t>CIUDAD, ESTADO, CP</t>
  </si>
  <si>
    <t>TELEFONO</t>
  </si>
  <si>
    <t>Cliente 1</t>
  </si>
  <si>
    <t>Empresa 1</t>
  </si>
  <si>
    <t>Dirección 1</t>
  </si>
  <si>
    <t>Ciudad 1</t>
  </si>
  <si>
    <t>Teléfono 1</t>
  </si>
  <si>
    <t>Cliente 2</t>
  </si>
  <si>
    <t>Empresa 2</t>
  </si>
  <si>
    <t>Dirección 2</t>
  </si>
  <si>
    <t>Ciudad 2</t>
  </si>
  <si>
    <t>Teléfono 2</t>
  </si>
  <si>
    <t>Cliente 3</t>
  </si>
  <si>
    <t>Empresa 3</t>
  </si>
  <si>
    <t>Dirección 3</t>
  </si>
  <si>
    <t>Ciudad 3</t>
  </si>
  <si>
    <t>Teléfono 3</t>
  </si>
  <si>
    <t>Cliente 4</t>
  </si>
  <si>
    <t>Empresa 4</t>
  </si>
  <si>
    <t>Dirección 4</t>
  </si>
  <si>
    <t>Ciudad 4</t>
  </si>
  <si>
    <t>Teléfono 4</t>
  </si>
  <si>
    <t>Cliente 5</t>
  </si>
  <si>
    <t>Empresa 5</t>
  </si>
  <si>
    <t>Dirección 5</t>
  </si>
  <si>
    <t>Ciudad 5</t>
  </si>
  <si>
    <t>Teléfono 5</t>
  </si>
  <si>
    <t>Cliente 6</t>
  </si>
  <si>
    <t>Empresa 6</t>
  </si>
  <si>
    <t>Dirección 6</t>
  </si>
  <si>
    <t>Ciudad 6</t>
  </si>
  <si>
    <t>Teléfono 6</t>
  </si>
  <si>
    <t>Cliente 7</t>
  </si>
  <si>
    <t>Empresa 7</t>
  </si>
  <si>
    <t>Dirección 7</t>
  </si>
  <si>
    <t>Ciudad 7</t>
  </si>
  <si>
    <t>Teléfono 7</t>
  </si>
  <si>
    <t>Cliente 8</t>
  </si>
  <si>
    <t>Empresa 8</t>
  </si>
  <si>
    <t>Dirección 8</t>
  </si>
  <si>
    <t>Ciudad 8</t>
  </si>
  <si>
    <t>Teléfono 8</t>
  </si>
  <si>
    <t>Cliente 9</t>
  </si>
  <si>
    <t>Empresa 9</t>
  </si>
  <si>
    <t>Dirección 9</t>
  </si>
  <si>
    <t>Ciudad 9</t>
  </si>
  <si>
    <t>Teléfono 9</t>
  </si>
  <si>
    <t>Cliente 10</t>
  </si>
  <si>
    <t>Empresa 10</t>
  </si>
  <si>
    <t>Dirección 10</t>
  </si>
  <si>
    <t>Ciudad 10</t>
  </si>
  <si>
    <t>Teléfono 10</t>
  </si>
  <si>
    <t>Cliente 11</t>
  </si>
  <si>
    <t>Empresa 11</t>
  </si>
  <si>
    <t>Dirección 11</t>
  </si>
  <si>
    <t>Ciudad 11</t>
  </si>
  <si>
    <t>Teléfono 11</t>
  </si>
  <si>
    <t>Cliente 12</t>
  </si>
  <si>
    <t>Empresa 12</t>
  </si>
  <si>
    <t>Dirección 12</t>
  </si>
  <si>
    <t>Ciudad 12</t>
  </si>
  <si>
    <t>Teléfono 12</t>
  </si>
  <si>
    <t>Cliente 13</t>
  </si>
  <si>
    <t>Empresa 13</t>
  </si>
  <si>
    <t>Dirección 13</t>
  </si>
  <si>
    <t>Ciudad 13</t>
  </si>
  <si>
    <t>Teléfono 13</t>
  </si>
  <si>
    <t>Cliente 14</t>
  </si>
  <si>
    <t>Empresa 14</t>
  </si>
  <si>
    <t>Dirección 14</t>
  </si>
  <si>
    <t>Ciudad 14</t>
  </si>
  <si>
    <t>Teléfono 14</t>
  </si>
  <si>
    <t>CODIGO</t>
  </si>
  <si>
    <t>DESCRIPCION</t>
  </si>
  <si>
    <t>P.UNITARIO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</si>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</sst>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409]mmmm\ d\,\ yyyy;@"/>
    <numFmt numFmtId="169" formatCode="[&lt;=9999999]###\-####;\(###\)\ ###\-####"/>
    <numFmt numFmtId="170" formatCode="[$-C0A]d\ &quot;de&quot;\ mmmm\ &quot;de&quot;\ yyyy;@"/>
  </numFmts>
  <fonts count="28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Bodoni MT"/>
      <family val="1"/>
    </font>
    <font>
      <b/>
      <i/>
      <sz val="11"/>
      <color theme="1" tint="0.34998626667073579"/>
      <name val="Roboto"/>
    </font>
    <font>
      <sz val="11"/>
      <name val="Roboto"/>
    </font>
    <font>
      <b/>
      <sz val="11"/>
      <name val="Roboto"/>
    </font>
    <font>
      <sz val="28"/>
      <color theme="1"/>
      <name val="Bodoni MT"/>
      <family val="1"/>
    </font>
    <font>
      <sz val="8"/>
      <name val="Arial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2">
    <xf numFmtId="0" fontId="0" fillId="0" borderId="0">
      <alignment wrapText="1"/>
    </xf>
    <xf numFmtId="168" fontId="5" fillId="0" borderId="0" applyFont="0" applyFill="0" applyBorder="0">
      <alignment horizontal="right"/>
    </xf>
    <xf numFmtId="165" fontId="5" fillId="0" borderId="0" applyFont="0" applyFill="0" applyBorder="0" applyProtection="0">
      <alignment horizontal="right" vertical="center"/>
    </xf>
    <xf numFmtId="0" fontId="4" fillId="0" borderId="0" applyNumberFormat="0" applyFill="0" applyBorder="0" applyProtection="0">
      <alignment horizontal="right"/>
    </xf>
    <xf numFmtId="0" fontId="7" fillId="0" borderId="0" applyNumberFormat="0" applyFill="0" applyProtection="0"/>
    <xf numFmtId="0" fontId="8" fillId="0" borderId="0" applyNumberFormat="0" applyFill="0" applyProtection="0">
      <alignment vertical="top" wrapText="1"/>
    </xf>
    <xf numFmtId="0" fontId="10" fillId="0" borderId="0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Protection="0">
      <alignment horizontal="center"/>
    </xf>
    <xf numFmtId="165" fontId="6" fillId="0" borderId="0" applyProtection="0">
      <alignment horizontal="right" vertical="center"/>
    </xf>
    <xf numFmtId="0" fontId="5" fillId="0" borderId="0" applyNumberFormat="0" applyFont="0" applyFill="0" applyBorder="0">
      <alignment horizontal="right" wrapText="1"/>
    </xf>
    <xf numFmtId="169" fontId="5" fillId="0" borderId="0" applyFont="0" applyFill="0" applyBorder="0">
      <alignment horizontal="left" vertical="top"/>
    </xf>
    <xf numFmtId="0" fontId="5" fillId="0" borderId="0" applyFont="0" applyFill="0" applyBorder="0">
      <alignment horizontal="right" vertical="top" wrapText="1"/>
    </xf>
    <xf numFmtId="0" fontId="5" fillId="0" borderId="0" applyFont="0" applyFill="0" applyBorder="0">
      <alignment vertical="center" wrapText="1"/>
    </xf>
    <xf numFmtId="0" fontId="11" fillId="3" borderId="2" applyNumberFormat="0" applyAlignment="0" applyProtection="0"/>
    <xf numFmtId="167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3" applyNumberFormat="0" applyAlignment="0" applyProtection="0"/>
    <xf numFmtId="0" fontId="17" fillId="7" borderId="2" applyNumberFormat="0" applyAlignment="0" applyProtection="0"/>
    <xf numFmtId="0" fontId="18" fillId="0" borderId="4" applyNumberFormat="0" applyFill="0" applyAlignment="0" applyProtection="0"/>
    <xf numFmtId="0" fontId="19" fillId="8" borderId="5" applyNumberFormat="0" applyAlignment="0" applyProtection="0"/>
    <xf numFmtId="0" fontId="20" fillId="0" borderId="0" applyNumberFormat="0" applyFill="0" applyBorder="0" applyAlignment="0" applyProtection="0"/>
    <xf numFmtId="0" fontId="12" fillId="9" borderId="6" applyNumberFormat="0" applyFont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1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10" fillId="0" borderId="0" xfId="6"/>
    <xf numFmtId="169" fontId="0" fillId="0" borderId="0" xfId="11" applyFont="1">
      <alignment horizontal="left" vertical="top"/>
    </xf>
    <xf numFmtId="165" fontId="0" fillId="0" borderId="0" xfId="2" applyFont="1">
      <alignment horizontal="right" vertical="center"/>
    </xf>
    <xf numFmtId="165" fontId="6" fillId="0" borderId="0" xfId="9">
      <alignment horizontal="right" vertical="center"/>
    </xf>
    <xf numFmtId="0" fontId="0" fillId="0" borderId="0" xfId="13" applyFont="1">
      <alignment vertical="center" wrapText="1"/>
    </xf>
    <xf numFmtId="0" fontId="10" fillId="0" borderId="0" xfId="12" applyFont="1">
      <alignment horizontal="right" vertical="top" wrapText="1"/>
    </xf>
    <xf numFmtId="0" fontId="10" fillId="0" borderId="0" xfId="10" applyFont="1">
      <alignment horizontal="right" wrapText="1"/>
    </xf>
    <xf numFmtId="0" fontId="9" fillId="0" borderId="0" xfId="12" applyFont="1">
      <alignment horizontal="right" vertical="top" wrapText="1"/>
    </xf>
    <xf numFmtId="165" fontId="3" fillId="0" borderId="0" xfId="2" applyFont="1" applyFill="1" applyBorder="1">
      <alignment horizontal="right" vertical="center"/>
    </xf>
    <xf numFmtId="170" fontId="0" fillId="0" borderId="0" xfId="10" applyNumberFormat="1" applyFont="1">
      <alignment horizontal="right" wrapText="1"/>
    </xf>
    <xf numFmtId="0" fontId="0" fillId="0" borderId="0" xfId="0">
      <alignment wrapText="1"/>
    </xf>
    <xf numFmtId="0" fontId="10" fillId="0" borderId="0" xfId="8">
      <alignment horizontal="center"/>
    </xf>
    <xf numFmtId="0" fontId="0" fillId="0" borderId="1" xfId="13" applyFont="1" applyBorder="1">
      <alignment vertical="center" wrapText="1"/>
    </xf>
    <xf numFmtId="0" fontId="0" fillId="0" borderId="0" xfId="13" applyFont="1" applyBorder="1">
      <alignment vertical="center" wrapText="1"/>
    </xf>
    <xf numFmtId="165" fontId="6" fillId="0" borderId="0" xfId="0" applyNumberFormat="1" applyFont="1" applyFill="1" applyBorder="1" applyAlignment="1">
      <alignment horizontal="right" vertical="center"/>
    </xf>
    <xf numFmtId="165" fontId="1" fillId="2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0" xfId="10" applyFont="1" applyAlignment="1">
      <alignment horizontal="right" vertical="center" wrapText="1"/>
    </xf>
    <xf numFmtId="0" fontId="0" fillId="0" borderId="0" xfId="10" applyFont="1" applyAlignment="1">
      <alignment horizontal="right" vertical="center" wrapText="1"/>
    </xf>
    <xf numFmtId="169" fontId="24" fillId="0" borderId="0" xfId="11" applyFont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>
      <alignment wrapText="1"/>
    </xf>
    <xf numFmtId="0" fontId="0" fillId="0" borderId="1" xfId="0" applyBorder="1">
      <alignment wrapText="1"/>
    </xf>
    <xf numFmtId="0" fontId="0" fillId="0" borderId="7" xfId="0" applyBorder="1">
      <alignment wrapText="1"/>
    </xf>
    <xf numFmtId="0" fontId="0" fillId="0" borderId="12" xfId="0" applyBorder="1">
      <alignment wrapText="1"/>
    </xf>
    <xf numFmtId="0" fontId="0" fillId="0" borderId="13" xfId="0" applyBorder="1">
      <alignment wrapText="1"/>
    </xf>
    <xf numFmtId="0" fontId="0" fillId="0" borderId="14" xfId="0" applyBorder="1">
      <alignment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6" fillId="0" borderId="0" xfId="3" applyFont="1" applyAlignment="1">
      <alignment horizontal="right"/>
    </xf>
    <xf numFmtId="0" fontId="22" fillId="34" borderId="0" xfId="4" applyFont="1" applyFill="1" applyAlignment="1">
      <alignment horizontal="center" vertical="center"/>
    </xf>
    <xf numFmtId="0" fontId="23" fillId="0" borderId="0" xfId="5" applyFont="1" applyAlignment="1">
      <alignment vertical="center" wrapText="1"/>
    </xf>
    <xf numFmtId="169" fontId="24" fillId="0" borderId="0" xfId="11" applyFont="1" applyAlignment="1">
      <alignment horizontal="left" vertical="top" wrapText="1"/>
    </xf>
    <xf numFmtId="169" fontId="24" fillId="0" borderId="0" xfId="11" applyFont="1" applyAlignment="1">
      <alignment horizontal="left" vertical="top"/>
    </xf>
    <xf numFmtId="0" fontId="23" fillId="0" borderId="0" xfId="5" applyFont="1" applyAlignment="1">
      <alignment horizontal="left" vertical="center" wrapText="1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Alineado a la derecha" xfId="10" xr:uid="{00000000-0005-0000-0000-00000B000000}"/>
    <cellStyle name="Alineado arriba" xfId="12" xr:uid="{00000000-0005-0000-0000-00000D000000}"/>
    <cellStyle name="Bueno" xfId="19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Descripción" xfId="13" xr:uid="{00000000-0005-0000-0000-000002000000}"/>
    <cellStyle name="Encabezado 1" xfId="4" builtinId="16" customBuiltin="1"/>
    <cellStyle name="Encabezado 4" xfId="7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4" builtinId="20" customBuiltin="1"/>
    <cellStyle name="Fecha" xfId="1" xr:uid="{00000000-0005-0000-0000-000001000000}"/>
    <cellStyle name="Incorrecto" xfId="20" builtinId="27" customBuiltin="1"/>
    <cellStyle name="Millares" xfId="15" builtinId="3" customBuiltin="1"/>
    <cellStyle name="Millares [0]" xfId="16" builtinId="6" customBuiltin="1"/>
    <cellStyle name="Moneda" xfId="2" builtinId="4" customBuiltin="1"/>
    <cellStyle name="Moneda [0]" xfId="17" builtinId="7" customBuiltin="1"/>
    <cellStyle name="Neutral" xfId="21" builtinId="28" customBuiltin="1"/>
    <cellStyle name="Normal" xfId="0" builtinId="0" customBuiltin="1"/>
    <cellStyle name="Notas" xfId="27" builtinId="10" customBuiltin="1"/>
    <cellStyle name="Porcentaje" xfId="18" builtinId="5" customBuiltin="1"/>
    <cellStyle name="Salida" xfId="22" builtinId="21" customBuiltin="1"/>
    <cellStyle name="Teléfono" xfId="11" xr:uid="{00000000-0005-0000-0000-00000A000000}"/>
    <cellStyle name="Texto de advertencia" xfId="26" builtinId="11" customBuiltin="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28"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</dxf>
    <dxf>
      <font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PivotStyle="PivotStyleLight16">
    <tableStyle name="Factura que calcula el total" pivot="0" count="7" xr9:uid="{00000000-0011-0000-FFFF-FFFF00000000}">
      <tableStyleElement type="wholeTable" dxfId="27"/>
      <tableStyleElement type="headerRow" dxfId="26"/>
      <tableStyleElement type="totalRow" dxfId="25"/>
      <tableStyleElement type="lastColumn" dxfId="24"/>
      <tableStyleElement type="secondColumnStripe" dxfId="23"/>
      <tableStyleElement type="lastHeaderCell" dxfId="22"/>
      <tableStyleElement type="lastTotalCell" dxfId="2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actura" displayName="Factura" ref="B12:E24" totalsRowCount="1" headerRowDxfId="16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CellStyle="Descripción"/>
    <tableColumn id="2" xr3:uid="{00000000-0010-0000-0000-000002000000}" name="DESCRIPCIÓN" dataDxfId="20" dataCellStyle="Descripción"/>
    <tableColumn id="4" xr3:uid="{0D33FDF2-4BA2-40D2-B945-3B30679527F6}" name="CANTIDAD" totalsRowLabel=" TOTAL " dataDxfId="19" totalsRowDxfId="18" dataCellStyle="Descripción"/>
    <tableColumn id="3" xr3:uid="{00000000-0010-0000-0000-000003000000}" name="IMPORTE" totalsRowFunction="sum" totalsRowDxfId="17" dataCellStyle="Moneda"/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37DF5-B82A-4B72-AA51-D7B5873ED477}" name="tblClientes" displayName="tblClientes" ref="A1:E15" totalsRowShown="0" headerRowDxfId="7" headerRowBorderDxfId="14" tableBorderDxfId="15" totalsRowBorderDxfId="13">
  <autoFilter ref="A1:E15" xr:uid="{03A37DF5-B82A-4B72-AA51-D7B5873ED477}"/>
  <tableColumns count="5">
    <tableColumn id="1" xr3:uid="{6174EC7A-0FCA-489F-B3AE-4EC7B76F2547}" name="NOMBRE" dataDxfId="12"/>
    <tableColumn id="2" xr3:uid="{DE676BB1-098F-40F2-9DBD-C33FF41C9A8A}" name="NOMBRE DE LA EMPRESA" dataDxfId="11"/>
    <tableColumn id="3" xr3:uid="{D8AEC6D1-F974-4B2D-A5DF-E2E2DFFAC40E}" name="DIRECCION" dataDxfId="10"/>
    <tableColumn id="4" xr3:uid="{72AECE3D-DDC3-420D-996F-43B899A95BD1}" name="CIUDAD, ESTADO, CP" dataDxfId="9"/>
    <tableColumn id="5" xr3:uid="{ACBD6E94-2082-4BFD-BB62-7C95E40871BB}" name="TELEFONO" dataDxfId="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4A6FBE-576D-464F-966E-A102EBF05A90}" name="tblProductos" displayName="tblProductos" ref="A1:C14" totalsRowShown="0" headerRowDxfId="0" headerRowBorderDxfId="5" tableBorderDxfId="6" totalsRowBorderDxfId="4">
  <autoFilter ref="A1:C14" xr:uid="{714A6FBE-576D-464F-966E-A102EBF05A90}"/>
  <tableColumns count="3">
    <tableColumn id="1" xr3:uid="{200C2602-2494-4A03-B455-12F4CE877860}" name="CODIGO" dataDxfId="3"/>
    <tableColumn id="2" xr3:uid="{84E7AA73-4108-474A-B05D-33700A089366}" name="DESCRIPCION" dataDxfId="2"/>
    <tableColumn id="3" xr3:uid="{5CC43374-95DD-4BFB-AD80-41709AF17EA0}" name="P.UNITARIO" dataDxfId="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0" tint="-0.249977111117893"/>
    <pageSetUpPr fitToPage="1"/>
  </sheetPr>
  <dimension ref="B1:E28"/>
  <sheetViews>
    <sheetView showGridLines="0" tabSelected="1" zoomScaleNormal="100" workbookViewId="0">
      <selection activeCell="D7" sqref="D7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36" t="s">
        <v>13</v>
      </c>
      <c r="C1" s="36"/>
      <c r="D1" s="35" t="s">
        <v>16</v>
      </c>
      <c r="E1" s="35"/>
    </row>
    <row r="2" spans="2:5" ht="46.5" customHeight="1" x14ac:dyDescent="0.2">
      <c r="B2" s="40" t="s">
        <v>14</v>
      </c>
      <c r="C2" s="40"/>
    </row>
    <row r="3" spans="2:5" ht="15" x14ac:dyDescent="0.25">
      <c r="B3" s="37"/>
      <c r="D3" s="8" t="s">
        <v>4</v>
      </c>
      <c r="E3" s="11">
        <f ca="1">TODAY()</f>
        <v>45716</v>
      </c>
    </row>
    <row r="4" spans="2:5" ht="32.25" customHeight="1" x14ac:dyDescent="0.2">
      <c r="B4" s="38" t="s">
        <v>11</v>
      </c>
      <c r="C4" s="39"/>
      <c r="D4" s="20" t="s">
        <v>12</v>
      </c>
      <c r="E4" s="21">
        <v>1</v>
      </c>
    </row>
    <row r="5" spans="2:5" ht="30" customHeight="1" x14ac:dyDescent="0.2">
      <c r="B5" s="22" t="s">
        <v>15</v>
      </c>
      <c r="D5" s="7" t="s">
        <v>5</v>
      </c>
      <c r="E5" s="9" t="s">
        <v>6</v>
      </c>
    </row>
    <row r="6" spans="2:5" ht="30" customHeight="1" x14ac:dyDescent="0.25">
      <c r="B6" s="2" t="s">
        <v>0</v>
      </c>
    </row>
    <row r="7" spans="2:5" ht="15" customHeight="1" x14ac:dyDescent="0.2">
      <c r="B7" t="s">
        <v>32</v>
      </c>
    </row>
    <row r="8" spans="2:5" ht="15" customHeight="1" x14ac:dyDescent="0.2">
      <c r="B8" t="str">
        <f>IFERROR(VLOOKUP(B7, tblClientes[], 2, ), "-")</f>
        <v>Empresa 3</v>
      </c>
    </row>
    <row r="9" spans="2:5" ht="15" customHeight="1" x14ac:dyDescent="0.2">
      <c r="B9" t="str">
        <f>IFERROR(VLOOKUP(B7, tblClientes[], 3, ), "-")</f>
        <v>Dirección 3</v>
      </c>
    </row>
    <row r="10" spans="2:5" ht="15" customHeight="1" x14ac:dyDescent="0.2">
      <c r="B10" t="str">
        <f>IFERROR(VLOOKUP(B7, tblClientes[], 4, ), "-")</f>
        <v>Ciudad 3</v>
      </c>
    </row>
    <row r="11" spans="2:5" ht="30" customHeight="1" x14ac:dyDescent="0.2">
      <c r="B11" s="3" t="str">
        <f>IFERROR(VLOOKUP(B7, tblClientes[], 5, ), "-")</f>
        <v>Teléfono 3</v>
      </c>
    </row>
    <row r="12" spans="2:5" ht="30" customHeight="1" x14ac:dyDescent="0.2">
      <c r="B12" s="1" t="s">
        <v>9</v>
      </c>
      <c r="C12" s="18" t="s">
        <v>1</v>
      </c>
      <c r="D12" s="19" t="s">
        <v>10</v>
      </c>
      <c r="E12" s="1" t="s">
        <v>7</v>
      </c>
    </row>
    <row r="13" spans="2:5" ht="30" customHeight="1" x14ac:dyDescent="0.2">
      <c r="B13" s="6"/>
      <c r="C13" s="14"/>
      <c r="D13" s="15"/>
      <c r="E13" s="4"/>
    </row>
    <row r="14" spans="2:5" ht="30" customHeight="1" x14ac:dyDescent="0.2">
      <c r="B14" s="6"/>
      <c r="C14" s="14"/>
      <c r="D14" s="15"/>
      <c r="E14" s="4"/>
    </row>
    <row r="15" spans="2:5" ht="30" customHeight="1" x14ac:dyDescent="0.2">
      <c r="B15" s="6"/>
      <c r="C15" s="14"/>
      <c r="D15" s="15"/>
      <c r="E15" s="4"/>
    </row>
    <row r="16" spans="2:5" ht="30" customHeight="1" x14ac:dyDescent="0.2">
      <c r="B16" s="6"/>
      <c r="C16" s="14"/>
      <c r="D16" s="15"/>
      <c r="E16" s="4"/>
    </row>
    <row r="17" spans="2:5" ht="30" customHeight="1" x14ac:dyDescent="0.2">
      <c r="B17" s="6"/>
      <c r="C17" s="14"/>
      <c r="D17" s="15"/>
      <c r="E17" s="4"/>
    </row>
    <row r="18" spans="2:5" ht="30" customHeight="1" x14ac:dyDescent="0.2">
      <c r="B18" s="6"/>
      <c r="C18" s="14"/>
      <c r="D18" s="15"/>
      <c r="E18" s="4"/>
    </row>
    <row r="19" spans="2:5" ht="30" customHeight="1" x14ac:dyDescent="0.2">
      <c r="B19" s="6"/>
      <c r="C19" s="14"/>
      <c r="D19" s="15"/>
      <c r="E19" s="4"/>
    </row>
    <row r="20" spans="2:5" ht="30" customHeight="1" x14ac:dyDescent="0.2">
      <c r="B20" s="6"/>
      <c r="C20" s="14"/>
      <c r="D20" s="15"/>
      <c r="E20" s="4"/>
    </row>
    <row r="21" spans="2:5" ht="30" customHeight="1" x14ac:dyDescent="0.2">
      <c r="B21" s="6"/>
      <c r="C21" s="14"/>
      <c r="D21" s="15"/>
      <c r="E21" s="4"/>
    </row>
    <row r="22" spans="2:5" ht="30" customHeight="1" x14ac:dyDescent="0.2">
      <c r="B22" s="6"/>
      <c r="C22" s="14"/>
      <c r="D22" s="15"/>
      <c r="E22" s="4"/>
    </row>
    <row r="23" spans="2:5" ht="30" customHeight="1" x14ac:dyDescent="0.2">
      <c r="B23" s="6"/>
      <c r="C23" s="14"/>
      <c r="D23" s="15"/>
      <c r="E23" s="4"/>
    </row>
    <row r="24" spans="2:5" ht="30" customHeight="1" x14ac:dyDescent="0.2">
      <c r="D24" s="16" t="s">
        <v>8</v>
      </c>
      <c r="E24" s="17">
        <f>SUBTOTAL(109,Factura[IMPORTE])</f>
        <v>0</v>
      </c>
    </row>
    <row r="25" spans="2:5" ht="5.45" customHeight="1" x14ac:dyDescent="0.2">
      <c r="C25" s="5"/>
      <c r="D25" s="5"/>
      <c r="E25" s="10"/>
    </row>
    <row r="26" spans="2:5" ht="30" customHeight="1" x14ac:dyDescent="0.2">
      <c r="B26" s="12" t="str">
        <f>"Todos los cheques se extenderán a nombre de "&amp;Nombre_empresa&amp;""</f>
        <v>Todos los cheques se extenderán a nombre de R I P L E Y</v>
      </c>
      <c r="C26" s="12"/>
      <c r="D26" s="12"/>
      <c r="E26" s="12"/>
    </row>
    <row r="27" spans="2:5" ht="30" customHeight="1" x14ac:dyDescent="0.2">
      <c r="B27" s="12" t="s">
        <v>2</v>
      </c>
      <c r="C27" s="12"/>
      <c r="D27" s="12"/>
      <c r="E27" s="12"/>
    </row>
    <row r="28" spans="2:5" ht="30" customHeight="1" x14ac:dyDescent="0.25">
      <c r="B28" s="13" t="s">
        <v>3</v>
      </c>
      <c r="C28" s="13"/>
      <c r="D28" s="13"/>
      <c r="E28" s="13"/>
    </row>
  </sheetData>
  <mergeCells count="7">
    <mergeCell ref="B27:E27"/>
    <mergeCell ref="B28:E28"/>
    <mergeCell ref="B26:E26"/>
    <mergeCell ref="D1:E1"/>
    <mergeCell ref="B1:C1"/>
    <mergeCell ref="B2:C2"/>
    <mergeCell ref="B4:C4"/>
  </mergeCells>
  <phoneticPr fontId="0" type="noConversion"/>
  <dataValidations count="23">
    <dataValidation allowBlank="1" showInputMessage="1" showErrorMessage="1" prompt="El nombre de la empresa se anexa automáticamente en esta celda" sqref="B26" xr:uid="{00000000-0002-0000-0000-000000000000}"/>
    <dataValidation allowBlank="1" showInputMessage="1" showErrorMessage="1" prompt="Escriba en esta celda el nombre de contacto, número de teléfono y correo electrónico de la empresa que factura." sqref="B27:E27" xr:uid="{00000000-0002-0000-0000-000001000000}"/>
    <dataValidation allowBlank="1" showInputMessage="1" showErrorMessage="1" prompt="Escriba el importe en la columna con este encabezado para cada descripción de la columna B. La última celda de la tabla contiene el importe adeudado." sqref="E12" xr:uid="{00000000-0002-0000-0000-000002000000}"/>
    <dataValidation allowBlank="1" showInputMessage="1" showErrorMessage="1" prompt="Escriba el campo personalizado en este encabezado y los datos correspondientes en la columna con este encabezado." sqref="C12:D12" xr:uid="{00000000-0002-0000-0000-000003000000}"/>
    <dataValidation allowBlank="1" showInputMessage="1" showErrorMessage="1" prompt="Escriba la descripción de la factura en la columna con este encabezado." sqref="B12" xr:uid="{00000000-0002-0000-0000-000004000000}"/>
    <dataValidation type="list" allowBlank="1" showInputMessage="1" showErrorMessage="1" prompt="Escriba el nombre del cliente en esta celda." sqref="B7" xr:uid="{00000000-0002-0000-0000-000005000000}">
      <formula1>INDIRECT("tblClientes[Nombre]")</formula1>
    </dataValidation>
    <dataValidation allowBlank="1" showInputMessage="1" showErrorMessage="1" prompt="Escriba el nombre de la empresa en esta celda." sqref="B8" xr:uid="{00000000-0002-0000-0000-000006000000}"/>
    <dataValidation allowBlank="1" showInputMessage="1" showErrorMessage="1" prompt="Escriba la dirección del cliente en esta celda." sqref="B9" xr:uid="{00000000-0002-0000-0000-000007000000}"/>
    <dataValidation allowBlank="1" showInputMessage="1" showErrorMessage="1" prompt="Escriba la ciudad, el estado y el código postal del cliente en esta celda." sqref="B10" xr:uid="{00000000-0002-0000-0000-000008000000}"/>
    <dataValidation allowBlank="1" showInputMessage="1" showErrorMessage="1" prompt="Escriba el número de teléfono del cliente en esta celda." sqref="B11" xr:uid="{00000000-0002-0000-0000-000009000000}"/>
    <dataValidation allowBlank="1" showInputMessage="1" showErrorMessage="1" prompt="Escriba el nombre del cliente, el nombre de la empresa, la dirección y el número de teléfono en las celdas siguientes." sqref="B6" xr:uid="{00000000-0002-0000-0000-00000A000000}"/>
    <dataValidation allowBlank="1" showInputMessage="1" showErrorMessage="1" prompt="Escriba en esta celda los números de teléfono y fax entre corchetes." sqref="B5" xr:uid="{00000000-0002-0000-0000-00000B000000}"/>
    <dataValidation allowBlank="1" showInputMessage="1" showErrorMessage="1" prompt="Escriba la ciudad, el estado o la provincia y el código postal en esta celda." sqref="B4" xr:uid="{00000000-0002-0000-0000-00000C000000}"/>
    <dataValidation allowBlank="1" showInputMessage="1" showErrorMessage="1" prompt="Escriba el lema de la empresa en esta celda y la dirección de la empresa en las celdas siguientes." sqref="B2" xr:uid="{00000000-0002-0000-0000-00000E000000}"/>
    <dataValidation allowBlank="1" showInputMessage="1" showErrorMessage="1" prompt="Escriba la descripción del producto de la factura en esta celda." sqref="E5" xr:uid="{00000000-0002-0000-0000-00000F000000}"/>
    <dataValidation allowBlank="1" showInputMessage="1" showErrorMessage="1" prompt="Escriba el número de factura en esta celda." sqref="E4" xr:uid="{00000000-0002-0000-0000-000012000000}"/>
    <dataValidation allowBlank="1" showInputMessage="1" showErrorMessage="1" prompt="Escriba la fecha de la factura en esta celda." sqref="E3" xr:uid="{00000000-0002-0000-0000-000014000000}"/>
    <dataValidation allowBlank="1" showInputMessage="1" showErrorMessage="1" prompt="Escriba el nombre de la empresa que factura en esta celda y el lema en la celda siguiente" sqref="B1" xr:uid="{00000000-0002-0000-0000-000015000000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00000000-0002-0000-0000-000016000000}"/>
    <dataValidation allowBlank="1" showInputMessage="1" showErrorMessage="1" prompt="El título de esta hoja de cálculo se muestra en esta celda. Escriba los detalles de la factura de la celda C3 a la D5." sqref="D1" xr:uid="{00000000-0002-0000-0000-000017000000}"/>
    <dataValidation allowBlank="1" showInputMessage="1" showErrorMessage="1" prompt="Escriba la descripción del producto de la factura en la celda de la derecha." sqref="D5" xr:uid="{00000000-0002-0000-0000-000010000000}"/>
    <dataValidation allowBlank="1" showInputMessage="1" showErrorMessage="1" prompt="Escriba el número de factura en la celda de la derecha." sqref="D4" xr:uid="{00000000-0002-0000-0000-000011000000}"/>
    <dataValidation allowBlank="1" showInputMessage="1" showErrorMessage="1" prompt="Escriba la fecha de la factura en la celda de la derecha." sqref="D3" xr:uid="{00000000-0002-0000-0000-000013000000}"/>
  </dataValidations>
  <printOptions horizontalCentered="1"/>
  <pageMargins left="0.5" right="0.5" top="0.5" bottom="0.5" header="0.5" footer="0.5"/>
  <pageSetup paperSize="9" scale="93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B44C-5D25-4C75-AF7C-B4C00499DFF2}">
  <dimension ref="A1"/>
  <sheetViews>
    <sheetView workbookViewId="0"/>
  </sheetViews>
  <sheetFormatPr baseColWidth="10" defaultRowHeight="14.2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E27-8131-468B-9E8C-0686ECE7475A}">
  <dimension ref="A1:E15"/>
  <sheetViews>
    <sheetView workbookViewId="0">
      <selection activeCell="D29" sqref="D29"/>
    </sheetView>
  </sheetViews>
  <sheetFormatPr baseColWidth="10" defaultRowHeight="14.25" x14ac:dyDescent="0.2"/>
  <cols>
    <col min="2" max="2" width="31.125" customWidth="1"/>
    <col min="3" max="3" width="17.625" customWidth="1"/>
    <col min="4" max="4" width="26.75" customWidth="1"/>
    <col min="5" max="5" width="12.75" customWidth="1"/>
  </cols>
  <sheetData>
    <row r="1" spans="1:5" ht="22.5" customHeight="1" x14ac:dyDescent="0.2">
      <c r="A1" s="23" t="s">
        <v>17</v>
      </c>
      <c r="B1" s="24" t="s">
        <v>18</v>
      </c>
      <c r="C1" s="24" t="s">
        <v>19</v>
      </c>
      <c r="D1" s="24" t="s">
        <v>20</v>
      </c>
      <c r="E1" s="25" t="s">
        <v>21</v>
      </c>
    </row>
    <row r="2" spans="1:5" x14ac:dyDescent="0.2">
      <c r="A2" s="26" t="s">
        <v>22</v>
      </c>
      <c r="B2" s="27" t="s">
        <v>23</v>
      </c>
      <c r="C2" s="27" t="s">
        <v>24</v>
      </c>
      <c r="D2" s="27" t="s">
        <v>25</v>
      </c>
      <c r="E2" s="28" t="s">
        <v>26</v>
      </c>
    </row>
    <row r="3" spans="1:5" x14ac:dyDescent="0.2">
      <c r="A3" s="26" t="s">
        <v>27</v>
      </c>
      <c r="B3" s="27" t="s">
        <v>28</v>
      </c>
      <c r="C3" s="27" t="s">
        <v>29</v>
      </c>
      <c r="D3" s="27" t="s">
        <v>30</v>
      </c>
      <c r="E3" s="28" t="s">
        <v>31</v>
      </c>
    </row>
    <row r="4" spans="1:5" x14ac:dyDescent="0.2">
      <c r="A4" s="26" t="s">
        <v>32</v>
      </c>
      <c r="B4" s="27" t="s">
        <v>33</v>
      </c>
      <c r="C4" s="27" t="s">
        <v>34</v>
      </c>
      <c r="D4" s="27" t="s">
        <v>35</v>
      </c>
      <c r="E4" s="28" t="s">
        <v>36</v>
      </c>
    </row>
    <row r="5" spans="1:5" x14ac:dyDescent="0.2">
      <c r="A5" s="26" t="s">
        <v>37</v>
      </c>
      <c r="B5" s="27" t="s">
        <v>38</v>
      </c>
      <c r="C5" s="27" t="s">
        <v>39</v>
      </c>
      <c r="D5" s="27" t="s">
        <v>40</v>
      </c>
      <c r="E5" s="28" t="s">
        <v>41</v>
      </c>
    </row>
    <row r="6" spans="1:5" x14ac:dyDescent="0.2">
      <c r="A6" s="26" t="s">
        <v>42</v>
      </c>
      <c r="B6" s="27" t="s">
        <v>43</v>
      </c>
      <c r="C6" s="27" t="s">
        <v>44</v>
      </c>
      <c r="D6" s="27" t="s">
        <v>45</v>
      </c>
      <c r="E6" s="28" t="s">
        <v>46</v>
      </c>
    </row>
    <row r="7" spans="1:5" x14ac:dyDescent="0.2">
      <c r="A7" s="26" t="s">
        <v>47</v>
      </c>
      <c r="B7" s="27" t="s">
        <v>48</v>
      </c>
      <c r="C7" s="27" t="s">
        <v>49</v>
      </c>
      <c r="D7" s="27" t="s">
        <v>50</v>
      </c>
      <c r="E7" s="28" t="s">
        <v>51</v>
      </c>
    </row>
    <row r="8" spans="1:5" x14ac:dyDescent="0.2">
      <c r="A8" s="26" t="s">
        <v>52</v>
      </c>
      <c r="B8" s="27" t="s">
        <v>53</v>
      </c>
      <c r="C8" s="27" t="s">
        <v>54</v>
      </c>
      <c r="D8" s="27" t="s">
        <v>55</v>
      </c>
      <c r="E8" s="28" t="s">
        <v>56</v>
      </c>
    </row>
    <row r="9" spans="1:5" x14ac:dyDescent="0.2">
      <c r="A9" s="26" t="s">
        <v>57</v>
      </c>
      <c r="B9" s="27" t="s">
        <v>58</v>
      </c>
      <c r="C9" s="27" t="s">
        <v>59</v>
      </c>
      <c r="D9" s="27" t="s">
        <v>60</v>
      </c>
      <c r="E9" s="28" t="s">
        <v>61</v>
      </c>
    </row>
    <row r="10" spans="1:5" x14ac:dyDescent="0.2">
      <c r="A10" s="26" t="s">
        <v>62</v>
      </c>
      <c r="B10" s="27" t="s">
        <v>63</v>
      </c>
      <c r="C10" s="27" t="s">
        <v>64</v>
      </c>
      <c r="D10" s="27" t="s">
        <v>65</v>
      </c>
      <c r="E10" s="28" t="s">
        <v>66</v>
      </c>
    </row>
    <row r="11" spans="1:5" x14ac:dyDescent="0.2">
      <c r="A11" s="26" t="s">
        <v>67</v>
      </c>
      <c r="B11" s="27" t="s">
        <v>68</v>
      </c>
      <c r="C11" s="27" t="s">
        <v>69</v>
      </c>
      <c r="D11" s="27" t="s">
        <v>70</v>
      </c>
      <c r="E11" s="28" t="s">
        <v>71</v>
      </c>
    </row>
    <row r="12" spans="1:5" x14ac:dyDescent="0.2">
      <c r="A12" s="26" t="s">
        <v>72</v>
      </c>
      <c r="B12" s="27" t="s">
        <v>73</v>
      </c>
      <c r="C12" s="27" t="s">
        <v>74</v>
      </c>
      <c r="D12" s="27" t="s">
        <v>75</v>
      </c>
      <c r="E12" s="28" t="s">
        <v>76</v>
      </c>
    </row>
    <row r="13" spans="1:5" x14ac:dyDescent="0.2">
      <c r="A13" s="26" t="s">
        <v>77</v>
      </c>
      <c r="B13" s="27" t="s">
        <v>78</v>
      </c>
      <c r="C13" s="27" t="s">
        <v>79</v>
      </c>
      <c r="D13" s="27" t="s">
        <v>80</v>
      </c>
      <c r="E13" s="28" t="s">
        <v>81</v>
      </c>
    </row>
    <row r="14" spans="1:5" x14ac:dyDescent="0.2">
      <c r="A14" s="26" t="s">
        <v>82</v>
      </c>
      <c r="B14" s="27" t="s">
        <v>83</v>
      </c>
      <c r="C14" s="27" t="s">
        <v>84</v>
      </c>
      <c r="D14" s="27" t="s">
        <v>85</v>
      </c>
      <c r="E14" s="28" t="s">
        <v>86</v>
      </c>
    </row>
    <row r="15" spans="1:5" x14ac:dyDescent="0.2">
      <c r="A15" s="29" t="s">
        <v>87</v>
      </c>
      <c r="B15" s="30" t="s">
        <v>88</v>
      </c>
      <c r="C15" s="30" t="s">
        <v>89</v>
      </c>
      <c r="D15" s="30" t="s">
        <v>90</v>
      </c>
      <c r="E15" s="31" t="s">
        <v>91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F0EB-D0C4-4AB0-A0A5-53E3F778DED4}">
  <dimension ref="A1:C14"/>
  <sheetViews>
    <sheetView workbookViewId="0">
      <selection activeCell="H11" sqref="H11"/>
    </sheetView>
  </sheetViews>
  <sheetFormatPr baseColWidth="10" defaultRowHeight="14.25" x14ac:dyDescent="0.2"/>
  <cols>
    <col min="2" max="2" width="15.5" customWidth="1"/>
    <col min="3" max="3" width="12.875" customWidth="1"/>
  </cols>
  <sheetData>
    <row r="1" spans="1:3" ht="18" customHeight="1" x14ac:dyDescent="0.2">
      <c r="A1" s="32" t="s">
        <v>92</v>
      </c>
      <c r="B1" s="33" t="s">
        <v>93</v>
      </c>
      <c r="C1" s="34" t="s">
        <v>94</v>
      </c>
    </row>
    <row r="2" spans="1:3" x14ac:dyDescent="0.2">
      <c r="A2" s="26">
        <v>1001</v>
      </c>
      <c r="B2" s="27" t="s">
        <v>95</v>
      </c>
      <c r="C2" s="28">
        <v>263</v>
      </c>
    </row>
    <row r="3" spans="1:3" x14ac:dyDescent="0.2">
      <c r="A3" s="26">
        <v>1002</v>
      </c>
      <c r="B3" s="27" t="s">
        <v>96</v>
      </c>
      <c r="C3" s="28">
        <v>478</v>
      </c>
    </row>
    <row r="4" spans="1:3" x14ac:dyDescent="0.2">
      <c r="A4" s="26">
        <v>1003</v>
      </c>
      <c r="B4" s="27" t="s">
        <v>97</v>
      </c>
      <c r="C4" s="28">
        <v>404</v>
      </c>
    </row>
    <row r="5" spans="1:3" x14ac:dyDescent="0.2">
      <c r="A5" s="26">
        <v>1004</v>
      </c>
      <c r="B5" s="27" t="s">
        <v>98</v>
      </c>
      <c r="C5" s="28">
        <v>320</v>
      </c>
    </row>
    <row r="6" spans="1:3" x14ac:dyDescent="0.2">
      <c r="A6" s="26">
        <v>1005</v>
      </c>
      <c r="B6" s="27" t="s">
        <v>99</v>
      </c>
      <c r="C6" s="28">
        <v>355</v>
      </c>
    </row>
    <row r="7" spans="1:3" x14ac:dyDescent="0.2">
      <c r="A7" s="26">
        <v>1006</v>
      </c>
      <c r="B7" s="27" t="s">
        <v>100</v>
      </c>
      <c r="C7" s="28">
        <v>216</v>
      </c>
    </row>
    <row r="8" spans="1:3" x14ac:dyDescent="0.2">
      <c r="A8" s="26">
        <v>1007</v>
      </c>
      <c r="B8" s="27" t="s">
        <v>101</v>
      </c>
      <c r="C8" s="28">
        <v>297</v>
      </c>
    </row>
    <row r="9" spans="1:3" x14ac:dyDescent="0.2">
      <c r="A9" s="26">
        <v>1008</v>
      </c>
      <c r="B9" s="27" t="s">
        <v>102</v>
      </c>
      <c r="C9" s="28">
        <v>270</v>
      </c>
    </row>
    <row r="10" spans="1:3" x14ac:dyDescent="0.2">
      <c r="A10" s="26">
        <v>1009</v>
      </c>
      <c r="B10" s="27" t="s">
        <v>103</v>
      </c>
      <c r="C10" s="28">
        <v>281</v>
      </c>
    </row>
    <row r="11" spans="1:3" x14ac:dyDescent="0.2">
      <c r="A11" s="26">
        <v>1010</v>
      </c>
      <c r="B11" s="27" t="s">
        <v>104</v>
      </c>
      <c r="C11" s="28">
        <v>112</v>
      </c>
    </row>
    <row r="12" spans="1:3" x14ac:dyDescent="0.2">
      <c r="A12" s="26">
        <v>1011</v>
      </c>
      <c r="B12" s="27" t="s">
        <v>105</v>
      </c>
      <c r="C12" s="28">
        <v>175</v>
      </c>
    </row>
    <row r="13" spans="1:3" x14ac:dyDescent="0.2">
      <c r="A13" s="26">
        <v>1012</v>
      </c>
      <c r="B13" s="27" t="s">
        <v>106</v>
      </c>
      <c r="C13" s="28">
        <v>487</v>
      </c>
    </row>
    <row r="14" spans="1:3" x14ac:dyDescent="0.2">
      <c r="A14" s="29">
        <v>1013</v>
      </c>
      <c r="B14" s="30" t="s">
        <v>107</v>
      </c>
      <c r="C14" s="31">
        <v>261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Factura simple</vt:lpstr>
      <vt:lpstr>Detalle de facturas</vt:lpstr>
      <vt:lpstr>Clientes</vt:lpstr>
      <vt:lpstr>Productos</vt:lpstr>
      <vt:lpstr>ColumnTitleRegion1..B11.1</vt:lpstr>
      <vt:lpstr>Nombre_empresa</vt:lpstr>
      <vt:lpstr>TítuloColumna1</vt:lpstr>
      <vt:lpstr>TítuloFilaRegión1..D5</vt:lpstr>
      <vt:lpstr>'Factura simple'!Títulos_a_imprimir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2025-02-28T17:09:10Z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