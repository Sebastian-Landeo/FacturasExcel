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C313596C-EAB9-4E25-95C1-C656CC16FB6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 simple" sheetId="1" r:id="rId1"/>
    <sheet name="TD-Consulta-Factura" sheetId="5" r:id="rId2"/>
    <sheet name="Consulta Factura" sheetId="6" r:id="rId3"/>
    <sheet name="Detalle de facturas" sheetId="2" r:id="rId4"/>
    <sheet name="Clientes" sheetId="3" r:id="rId5"/>
    <sheet name="Productos" sheetId="4" r:id="rId6"/>
  </sheets>
  <functionGroups builtInGroupCount="19"/>
  <definedNames>
    <definedName name="_xleta.LOOKUP" hidden="1" xlm="1">#NAME?</definedName>
    <definedName name="ColumnTitleRegion1..B11.1" localSheetId="2">'Consulta Factura'!$B$6</definedName>
    <definedName name="ColumnTitleRegion1..B11.1">'Factura simple'!$B$6</definedName>
    <definedName name="Nombre_empresa" localSheetId="2">'Consulta Factura'!$B$1</definedName>
    <definedName name="Nombre_empresa">'Factura simple'!$B$1</definedName>
    <definedName name="TítuloColumna1" localSheetId="2">Factura6[[#Headers],[CÓDIGO]]</definedName>
    <definedName name="TítuloColumna1">Factura[[#Headers],[CÓDIGO]]</definedName>
    <definedName name="TítuloFilaRegión1..D5" localSheetId="2">'Consulta Factura'!$D$3</definedName>
    <definedName name="TítuloFilaRegión1..D5">'Factura simple'!$D$3</definedName>
    <definedName name="_xlnm.Print_Titles" localSheetId="2">'Consulta Factura'!$12:$12</definedName>
    <definedName name="_xlnm.Print_Titles" localSheetId="0">'Factura simple'!$12:$12</definedName>
    <definedName name="valCliente" localSheetId="2">'Consulta Factura'!$B$7</definedName>
    <definedName name="valCliente">'Factura simple'!$B$7</definedName>
  </definedNames>
  <calcPr calcId="191029"/>
  <pivotCaches>
    <pivotCache cacheId="1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6" l="1"/>
  <c r="D13" i="6"/>
  <c r="D14" i="6"/>
  <c r="D15" i="6"/>
  <c r="D16" i="6"/>
  <c r="D17" i="6"/>
  <c r="D18" i="6"/>
  <c r="D19" i="6"/>
  <c r="D20" i="6"/>
  <c r="D21" i="6"/>
  <c r="D22" i="6"/>
  <c r="D23" i="6"/>
  <c r="B14" i="6"/>
  <c r="C14" i="6" s="1"/>
  <c r="B13" i="6"/>
  <c r="C13" i="6" s="1"/>
  <c r="B15" i="6"/>
  <c r="C15" i="6" s="1"/>
  <c r="B16" i="6"/>
  <c r="B17" i="6"/>
  <c r="C17" i="6" s="1"/>
  <c r="B18" i="6"/>
  <c r="C18" i="6" s="1"/>
  <c r="B19" i="6"/>
  <c r="C19" i="6" s="1"/>
  <c r="B20" i="6"/>
  <c r="C20" i="6" s="1"/>
  <c r="B21" i="6"/>
  <c r="B22" i="6"/>
  <c r="C22" i="6" s="1"/>
  <c r="B23" i="6"/>
  <c r="C23" i="6" s="1"/>
  <c r="B7" i="6"/>
  <c r="B10" i="6" s="1"/>
  <c r="B26" i="6"/>
  <c r="E3" i="6"/>
  <c r="C14" i="1"/>
  <c r="C15" i="1"/>
  <c r="C16" i="1"/>
  <c r="E14" i="1"/>
  <c r="E15" i="1"/>
  <c r="E16" i="1"/>
  <c r="E17" i="1"/>
  <c r="E18" i="1"/>
  <c r="C17" i="1"/>
  <c r="C18" i="1"/>
  <c r="E19" i="1"/>
  <c r="E20" i="1"/>
  <c r="E21" i="1"/>
  <c r="E22" i="1"/>
  <c r="E23" i="1"/>
  <c r="C19" i="1"/>
  <c r="C20" i="1"/>
  <c r="C21" i="1"/>
  <c r="C22" i="1"/>
  <c r="C23" i="1"/>
  <c r="C13" i="1"/>
  <c r="I1" i="2" a="1"/>
  <c r="I1" i="2" s="1"/>
  <c r="E4" i="1" s="1"/>
  <c r="E13" i="1"/>
  <c r="B8" i="1"/>
  <c r="B11" i="1"/>
  <c r="B10" i="1"/>
  <c r="B9" i="1"/>
  <c r="B26" i="1"/>
  <c r="E3" i="1"/>
  <c r="E13" i="6" l="1"/>
  <c r="E19" i="6"/>
  <c r="E15" i="6"/>
  <c r="E22" i="6"/>
  <c r="E16" i="6"/>
  <c r="E23" i="6"/>
  <c r="E21" i="6"/>
  <c r="C16" i="6"/>
  <c r="E17" i="6"/>
  <c r="E18" i="6"/>
  <c r="E14" i="6"/>
  <c r="E20" i="6"/>
  <c r="C21" i="6"/>
  <c r="B11" i="6"/>
  <c r="B8" i="6"/>
  <c r="B9" i="6"/>
  <c r="E24" i="1"/>
  <c r="C25" i="1" a="1"/>
  <c r="C25" i="1" l="1"/>
  <c r="E24" i="6"/>
  <c r="C25" i="6" a="1"/>
  <c r="C25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<sst xmlns="http://schemas.openxmlformats.org/spreadsheetml/2006/main" count="176" uniqueCount="123">
  <si>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</si>
  <si>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</si>
  <si>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</si>
  <si>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</si>
  <si>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</si>
  <si>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</si>
  <si>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</si>
  <si>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</si>
  <si>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</si>
  <si>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</si>
  <si>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</si>
  <si>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</si>
  <si>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</si>
  <si>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</si>
  <si>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</si>
  <si>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</si>
  <si>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</si>
  <si>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</si>
  <si>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</si>
  <si>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</si>
  <si>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</si>
  <si>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</si>
  <si>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</si>
  <si>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</si>
  <si>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</si>
  <si>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</si>
  <si>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</si>
  <si>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</si>
  <si>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</si>
  <si>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</si>
  <si>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</si>
  <si>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</si>
  <si>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</si>
  <si>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</si>
  <si>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</si>
  <si>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</si>
  <si>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</si>
  <si>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</si>
  <si>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</si>
  <si>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</si>
  <si>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</si>
  <si>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</si>
  <si>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</si>
  <si>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</si>
  <si>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</si>
  <si>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</si>
  <si>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</si>
  <si>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</si>
  <si>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</si>
  <si>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</si>
  <si>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</si>
  <si>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</si>
  <si>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</si>
  <si>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</si>
  <si>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</si>
  <si>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</si>
  <si>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</si>
  <si>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</si>
  <si>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</si>
  <si>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</si>
  <si>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</si>
  <si>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</si>
  <si>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</si>
  <si>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</si>
  <si>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</si>
  <si>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</si>
  <si>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</si>
  <si>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</si>
  <si>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</si>
  <si>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</si>
  <si>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</si>
  <si>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</si>
  <si>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</si>
  <si>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</si>
  <si>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</si>
  <si>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</si>
  <si>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</si>
  <si>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</si>
  <si>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</si>
  <si>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</si>
  <si>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</si>
  <si>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</si>
  <si>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</si>
  <si>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</si>
  <si>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</si>
  <si>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</si>
  <si>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</si>
  <si>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</si>
  <si>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</si>
  <si>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</si>
  <si>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</si>
  <si>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</si>
  <si>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</si>
  <si>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</si>
  <si>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</si>
  <si>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</si>
  <si>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</si>
  <si>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</si>
  <si>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</si>
  <si>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</si>
  <si>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</si>
  <si>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</si>
  <si>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</si>
  <si>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</si>
  <si>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</si>
  <si>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</si>
  <si>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</si>
  <si>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</si>
  <si>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FECHA</t>
  </si>
  <si>
    <t>CONSECUTIVO</t>
  </si>
  <si>
    <t>FACTURADO A</t>
  </si>
  <si>
    <t>Devuelve el último valor de la columna B</t>
  </si>
  <si>
    <t>NOMBRE_ARCHIVO</t>
  </si>
  <si>
    <t>C:\Users\Sebastian\Desktop\Proyectos de verano\Facturas con excel\Facturas en PDF\Factura-1.pdf</t>
  </si>
  <si>
    <t>C:\Users\Sebastian\Desktop\Proyectos de verano\Facturas con excel\Facturas en PDF\Factura-2.pdf</t>
  </si>
  <si>
    <t>C:\Users\Sebastian\Desktop\Proyectos de verano\Facturas con excel\Facturas en PDF\Factura-3.pdf</t>
  </si>
  <si>
    <t>C:\Users\Sebastian\Desktop\Proyectos de verano\Facturas con excel\Facturas en PDF\Factura-4.pdf</t>
  </si>
  <si>
    <t>C:\Users\Sebastian\Desktop\Proyectos de verano\Facturas con excel\Facturas en PDF\Factura-4pdf</t>
  </si>
  <si>
    <t>C:\Users\Sebastian\Desktop\Proyectos de verano\Facturas con excel\Facturas en PDF\Factura-5.pdf</t>
  </si>
  <si>
    <t>Producto 14</t>
  </si>
  <si>
    <t>C:\Users\Sebastian\Desktop\Proyectos de verano\Facturas con excel\Facturas en PDF\Factura-6.pdf</t>
  </si>
  <si>
    <t>Importe en letra</t>
  </si>
  <si>
    <t>C:\Users\Sebastian\Desktop\Proyectos de verano\Facturas con excel\Facturas en PDF\Factura-7.pdf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</si>
</sst>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  <numFmt numFmtId="171" formatCode="_-[$S/-280A]\ * #,##0.00_-;\-[$S/-280A]\ * #,##0.00_-;_-[$S/-280A]\ * &quot;-&quot;??_-;_-@_-"/>
  </numFmts>
  <fonts count="29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2">
    <xf numFmtId="0" fontId="0" fillId="0" borderId="0">
      <alignment wrapText="1"/>
    </xf>
    <xf numFmtId="168" fontId="6" fillId="0" borderId="0" applyFont="0" applyFill="0" applyBorder="0">
      <alignment horizontal="right"/>
    </xf>
    <xf numFmtId="165" fontId="6" fillId="0" borderId="0" applyFont="0" applyFill="0" applyBorder="0" applyProtection="0">
      <alignment horizontal="right" vertical="center"/>
    </xf>
    <xf numFmtId="0" fontId="5" fillId="0" borderId="0" applyNumberFormat="0" applyFill="0" applyBorder="0" applyProtection="0">
      <alignment horizontal="right"/>
    </xf>
    <xf numFmtId="0" fontId="8" fillId="0" borderId="0" applyNumberFormat="0" applyFill="0" applyProtection="0"/>
    <xf numFmtId="0" fontId="9" fillId="0" borderId="0" applyNumberFormat="0" applyFill="0" applyProtection="0">
      <alignment vertical="top" wrapText="1"/>
    </xf>
    <xf numFmtId="0" fontId="11" fillId="0" borderId="0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Protection="0">
      <alignment horizontal="center"/>
    </xf>
    <xf numFmtId="165" fontId="7" fillId="0" borderId="0" applyProtection="0">
      <alignment horizontal="right" vertical="center"/>
    </xf>
    <xf numFmtId="0" fontId="6" fillId="0" borderId="0" applyNumberFormat="0" applyFont="0" applyFill="0" applyBorder="0">
      <alignment horizontal="right" wrapText="1"/>
    </xf>
    <xf numFmtId="169" fontId="6" fillId="0" borderId="0" applyFont="0" applyFill="0" applyBorder="0">
      <alignment horizontal="left" vertical="top"/>
    </xf>
    <xf numFmtId="0" fontId="6" fillId="0" borderId="0" applyFont="0" applyFill="0" applyBorder="0">
      <alignment horizontal="right" vertical="top" wrapText="1"/>
    </xf>
    <xf numFmtId="0" fontId="6" fillId="0" borderId="0" applyFont="0" applyFill="0" applyBorder="0">
      <alignment vertical="center" wrapText="1"/>
    </xf>
    <xf numFmtId="0" fontId="12" fillId="3" borderId="2" applyNumberFormat="0" applyAlignment="0" applyProtection="0"/>
    <xf numFmtId="167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3" applyNumberFormat="0" applyAlignment="0" applyProtection="0"/>
    <xf numFmtId="0" fontId="18" fillId="7" borderId="2" applyNumberFormat="0" applyAlignment="0" applyProtection="0"/>
    <xf numFmtId="0" fontId="19" fillId="0" borderId="4" applyNumberFormat="0" applyFill="0" applyAlignment="0" applyProtection="0"/>
    <xf numFmtId="0" fontId="20" fillId="8" borderId="5" applyNumberFormat="0" applyAlignment="0" applyProtection="0"/>
    <xf numFmtId="0" fontId="21" fillId="0" borderId="0" applyNumberFormat="0" applyFill="0" applyBorder="0" applyAlignment="0" applyProtection="0"/>
    <xf numFmtId="0" fontId="13" fillId="9" borderId="6" applyNumberFormat="0" applyFont="0" applyAlignment="0" applyProtection="0"/>
    <xf numFmtId="0" fontId="22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2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2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2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2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2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</cellStyleXfs>
  <cellXfs count="46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1" fillId="0" borderId="0" xfId="6"/>
    <xf numFmtId="169" fontId="0" fillId="0" borderId="0" xfId="11" applyFont="1">
      <alignment horizontal="left" vertical="top"/>
    </xf>
    <xf numFmtId="0" fontId="11" fillId="0" borderId="0" xfId="12" applyFont="1">
      <alignment horizontal="right" vertical="top" wrapText="1"/>
    </xf>
    <xf numFmtId="0" fontId="11" fillId="0" borderId="0" xfId="10" applyFont="1">
      <alignment horizontal="right" wrapText="1"/>
    </xf>
    <xf numFmtId="0" fontId="10" fillId="0" borderId="0" xfId="12" applyFont="1">
      <alignment horizontal="right" vertical="top" wrapText="1"/>
    </xf>
    <xf numFmtId="165" fontId="4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165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1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5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4" fillId="0" borderId="0" xfId="5" applyFont="1" applyAlignment="1">
      <alignment vertical="center" wrapText="1"/>
    </xf>
    <xf numFmtId="0" fontId="0" fillId="0" borderId="0" xfId="13" applyFont="1" applyAlignment="1">
      <alignment horizontal="center" vertical="center" wrapText="1"/>
    </xf>
    <xf numFmtId="0" fontId="0" fillId="0" borderId="1" xfId="13" applyFont="1" applyBorder="1" applyAlignment="1">
      <alignment horizontal="center" vertical="center" wrapText="1"/>
    </xf>
    <xf numFmtId="0" fontId="0" fillId="0" borderId="0" xfId="13" applyFont="1" applyBorder="1" applyAlignment="1">
      <alignment horizontal="center" vertical="center" wrapText="1"/>
    </xf>
    <xf numFmtId="0" fontId="0" fillId="0" borderId="15" xfId="0" applyBorder="1" applyAlignment="1">
      <alignment horizontal="center" wrapText="1"/>
    </xf>
    <xf numFmtId="14" fontId="0" fillId="0" borderId="0" xfId="0" applyNumberFormat="1">
      <alignment wrapText="1"/>
    </xf>
    <xf numFmtId="171" fontId="0" fillId="0" borderId="0" xfId="2" applyNumberFormat="1" applyFont="1" applyAlignment="1">
      <alignment horizontal="center" vertical="center"/>
    </xf>
    <xf numFmtId="171" fontId="2" fillId="2" borderId="1" xfId="0" applyNumberFormat="1" applyFont="1" applyFill="1" applyBorder="1" applyAlignment="1">
      <alignment horizontal="right" vertical="center"/>
    </xf>
    <xf numFmtId="0" fontId="0" fillId="0" borderId="0" xfId="0" pivotButton="1">
      <alignment wrapText="1"/>
    </xf>
    <xf numFmtId="0" fontId="0" fillId="35" borderId="0" xfId="10" applyFont="1" applyFill="1" applyAlignment="1">
      <alignment horizontal="center" vertical="center" wrapText="1"/>
    </xf>
    <xf numFmtId="0" fontId="0" fillId="0" borderId="0" xfId="0">
      <alignment wrapText="1"/>
    </xf>
    <xf numFmtId="0" fontId="11" fillId="0" borderId="0" xfId="8">
      <alignment horizontal="center"/>
    </xf>
    <xf numFmtId="0" fontId="27" fillId="0" borderId="0" xfId="3" applyFont="1">
      <alignment horizontal="right"/>
    </xf>
    <xf numFmtId="0" fontId="23" fillId="34" borderId="0" xfId="4" applyFont="1" applyFill="1" applyAlignment="1">
      <alignment horizontal="center" vertical="center"/>
    </xf>
    <xf numFmtId="0" fontId="24" fillId="0" borderId="0" xfId="5" applyFont="1" applyAlignment="1">
      <alignment horizontal="left" vertical="center" wrapText="1"/>
    </xf>
    <xf numFmtId="169" fontId="25" fillId="0" borderId="0" xfId="11" applyFont="1" applyAlignment="1">
      <alignment horizontal="left" vertical="top" wrapText="1"/>
    </xf>
    <xf numFmtId="169" fontId="25" fillId="0" borderId="0" xfId="11" applyFont="1">
      <alignment horizontal="left" vertical="top"/>
    </xf>
    <xf numFmtId="165" fontId="7" fillId="0" borderId="0" xfId="9" applyAlignment="1">
      <alignment horizontal="centerContinuous" vertical="center" wrapText="1"/>
    </xf>
    <xf numFmtId="165" fontId="1" fillId="0" borderId="0" xfId="9" applyFont="1" applyAlignment="1">
      <alignment horizontal="centerContinuous" vertical="center" wrapText="1"/>
    </xf>
    <xf numFmtId="0" fontId="0" fillId="0" borderId="0" xfId="0" applyAlignment="1">
      <alignment horizontal="center" vertical="center" wrapText="1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42"/>
      <tableStyleElement type="headerRow" dxfId="41"/>
      <tableStyleElement type="totalRow" dxfId="40"/>
      <tableStyleElement type="lastColumn" dxfId="39"/>
      <tableStyleElement type="secondColumnStripe" dxfId="38"/>
      <tableStyleElement type="lastHeaderCell" dxfId="37"/>
      <tableStyleElement type="lastTotalCell" dxfId="3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981075</xdr:colOff>
      <xdr:row>5</xdr:row>
      <xdr:rowOff>352424</xdr:rowOff>
    </xdr:from>
    <xdr:to>
      <xdr:col>5</xdr:col>
      <xdr:colOff>0</xdr:colOff>
      <xdr:row>9</xdr:row>
      <xdr:rowOff>38099</xdr:rowOff>
    </xdr:to>
    <xdr:sp macro="[0]!GuardarFactura" textlink="">
      <xdr:nvSpPr>
        <xdr:cNvPr id="2" name="Rectángulo 1">
          <a:extLst>
            <a:ext uri="{FF2B5EF4-FFF2-40B4-BE49-F238E27FC236}">
              <a16:creationId xmlns:a16="http://schemas.microsoft.com/office/drawing/2014/main" id="{52075E31-2912-CAB6-78BA-D44BC6AF1181}"/>
            </a:ext>
          </a:extLst>
        </xdr:cNvPr>
        <xdr:cNvSpPr/>
      </xdr:nvSpPr>
      <xdr:spPr bwMode="auto">
        <a:xfrm>
          <a:off x="5086350" y="2362199"/>
          <a:ext cx="2057400" cy="638175"/>
        </a:xfrm>
        <a:prstGeom prst="rect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G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U A R D A R  e </a:t>
          </a:r>
        </a:p>
        <a:p>
          <a:pPr algn="ctr"/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I M P R I M I R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</xdr:row>
      <xdr:rowOff>66674</xdr:rowOff>
    </xdr:from>
    <xdr:to>
      <xdr:col>5</xdr:col>
      <xdr:colOff>9525</xdr:colOff>
      <xdr:row>1</xdr:row>
      <xdr:rowOff>409575</xdr:rowOff>
    </xdr:to>
    <xdr:sp macro="[0]!ConsultarFactura" textlink="">
      <xdr:nvSpPr>
        <xdr:cNvPr id="2" name="Rectángulo 1">
          <a:extLst>
            <a:ext uri="{FF2B5EF4-FFF2-40B4-BE49-F238E27FC236}">
              <a16:creationId xmlns:a16="http://schemas.microsoft.com/office/drawing/2014/main" id="{B097065A-F430-4254-A722-B48169C8E1F8}"/>
            </a:ext>
          </a:extLst>
        </xdr:cNvPr>
        <xdr:cNvSpPr/>
      </xdr:nvSpPr>
      <xdr:spPr bwMode="auto">
        <a:xfrm>
          <a:off x="4343400" y="504824"/>
          <a:ext cx="2809875" cy="342901"/>
        </a:xfrm>
        <a:prstGeom prst="rect">
          <a:avLst/>
        </a:prstGeom>
        <a:solidFill>
          <a:srgbClr val="7030A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400" b="1">
              <a:solidFill>
                <a:schemeClr val="bg1"/>
              </a:solidFill>
              <a:latin typeface="Bodoni MT" panose="02070603080606020203" pitchFamily="18" charset="0"/>
            </a:rPr>
            <a:t>C</a:t>
          </a:r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 O N S U L T A R   F A C T U R A</a:t>
          </a:r>
          <a:endParaRPr lang="es-PE" sz="14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 fPrintsWithSheet="0"/>
  </xdr:twoCellAnchor>
  <xdr:twoCellAnchor>
    <xdr:from>
      <xdr:col>3</xdr:col>
      <xdr:colOff>209550</xdr:colOff>
      <xdr:row>6</xdr:row>
      <xdr:rowOff>152400</xdr:rowOff>
    </xdr:from>
    <xdr:to>
      <xdr:col>4</xdr:col>
      <xdr:colOff>1676400</xdr:colOff>
      <xdr:row>9</xdr:row>
      <xdr:rowOff>57150</xdr:rowOff>
    </xdr:to>
    <xdr:sp macro="[0]!EnviarEmail" textlink="">
      <xdr:nvSpPr>
        <xdr:cNvPr id="3" name="Rectángulo 2">
          <a:extLst>
            <a:ext uri="{FF2B5EF4-FFF2-40B4-BE49-F238E27FC236}">
              <a16:creationId xmlns:a16="http://schemas.microsoft.com/office/drawing/2014/main" id="{F5FD5A64-9B1C-47AD-9461-C09821E8FDA4}"/>
            </a:ext>
          </a:extLst>
        </xdr:cNvPr>
        <xdr:cNvSpPr/>
      </xdr:nvSpPr>
      <xdr:spPr bwMode="auto">
        <a:xfrm>
          <a:off x="4314825" y="2543175"/>
          <a:ext cx="2809875" cy="4762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400" b="1">
              <a:solidFill>
                <a:schemeClr val="bg1"/>
              </a:solidFill>
              <a:latin typeface="Bodoni MT" panose="02070603080606020203" pitchFamily="18" charset="0"/>
            </a:rPr>
            <a:t>E N V I</a:t>
          </a:r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 </a:t>
          </a:r>
          <a:r>
            <a:rPr lang="es-PE" sz="1400" b="1">
              <a:solidFill>
                <a:schemeClr val="bg1"/>
              </a:solidFill>
              <a:latin typeface="Bodoni MT" panose="02070603080606020203" pitchFamily="18" charset="0"/>
            </a:rPr>
            <a:t>A R</a:t>
          </a:r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   P D F   </a:t>
          </a:r>
        </a:p>
        <a:p>
          <a:pPr algn="ctr"/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P O R   E M A I L</a:t>
          </a:r>
          <a:endParaRPr lang="es-PE" sz="14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723.499509374997" createdVersion="8" refreshedVersion="8" minRefreshableVersion="3" recordCount="12" xr:uid="{0D8C03B1-271B-489F-AFC9-EC5B5886C91F}">
  <cacheSource type="worksheet">
    <worksheetSource name="tblDetalle"/>
  </cacheSource>
  <cacheFields count="8">
    <cacheField name="FECHA" numFmtId="14">
      <sharedItems containsSemiMixedTypes="0" containsNonDate="0" containsDate="1" containsString="0" minDate="2025-03-04T00:00:00" maxDate="2025-03-08T00:00:00"/>
    </cacheField>
    <cacheField name="CONSECUTIVO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FACTURADO A" numFmtId="0">
      <sharedItems/>
    </cacheField>
    <cacheField name="CODIGO" numFmtId="0">
      <sharedItems containsSemiMixedTypes="0" containsString="0" containsNumber="1" containsInteger="1" minValue="1001" maxValue="1014" count="8">
        <n v="1003"/>
        <n v="1001"/>
        <n v="1004"/>
        <n v="1012"/>
        <n v="1010"/>
        <n v="1007"/>
        <n v="1011"/>
        <n v="1014"/>
      </sharedItems>
    </cacheField>
    <cacheField name="DESCRIPCION" numFmtId="0">
      <sharedItems/>
    </cacheField>
    <cacheField name="CANTIDAD" numFmtId="0">
      <sharedItems containsSemiMixedTypes="0" containsString="0" containsNumber="1" containsInteger="1" minValue="1" maxValue="50" count="10">
        <n v="10"/>
        <n v="1"/>
        <n v="7"/>
        <n v="8"/>
        <n v="50"/>
        <n v="3"/>
        <n v="2"/>
        <n v="6"/>
        <n v="11"/>
        <n v="22"/>
      </sharedItems>
    </cacheField>
    <cacheField name="IMPORTE" numFmtId="0">
      <sharedItems containsSemiMixedTypes="0" containsString="0" containsNumber="1" minValue="263" maxValue="24350"/>
    </cacheField>
    <cacheField name="NOMBRE_ARCHIV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d v="2025-03-04T00:00:00"/>
    <x v="0"/>
    <s v="Cliente 1"/>
    <x v="0"/>
    <s v="Producto 3"/>
    <x v="0"/>
    <n v="4040"/>
    <s v="C:\Users\Sebastian\Desktop\Proyectos de verano\Facturas con excel\Facturas en PDF\Factura-1.pdf"/>
  </r>
  <r>
    <d v="2025-03-04T00:00:00"/>
    <x v="0"/>
    <s v="Cliente 1"/>
    <x v="1"/>
    <s v="Producto 1"/>
    <x v="1"/>
    <n v="263"/>
    <s v="C:\Users\Sebastian\Desktop\Proyectos de verano\Facturas con excel\Facturas en PDF\Factura-1.pdf"/>
  </r>
  <r>
    <d v="2025-03-04T00:00:00"/>
    <x v="1"/>
    <s v="Cliente 10"/>
    <x v="0"/>
    <s v="Producto 3"/>
    <x v="2"/>
    <n v="2828"/>
    <s v="C:\Users\Sebastian\Desktop\Proyectos de verano\Facturas con excel\Facturas en PDF\Factura-2.pdf"/>
  </r>
  <r>
    <d v="2025-03-04T00:00:00"/>
    <x v="1"/>
    <s v="Cliente 10"/>
    <x v="2"/>
    <s v="Producto 4"/>
    <x v="3"/>
    <n v="2560"/>
    <s v="C:\Users\Sebastian\Desktop\Proyectos de verano\Facturas con excel\Facturas en PDF\Factura-2.pdf"/>
  </r>
  <r>
    <d v="2025-03-05T00:00:00"/>
    <x v="2"/>
    <s v="Cliente 12"/>
    <x v="3"/>
    <s v="Producto 12"/>
    <x v="4"/>
    <n v="24350"/>
    <s v="C:\Users\Sebastian\Desktop\Proyectos de verano\Facturas con excel\Facturas en PDF\Factura-3.pdf"/>
  </r>
  <r>
    <d v="2025-03-05T00:00:00"/>
    <x v="3"/>
    <s v="Cliente 12"/>
    <x v="4"/>
    <s v="Producto 10"/>
    <x v="5"/>
    <n v="336"/>
    <s v="C:\Users\Sebastian\Desktop\Proyectos de verano\Facturas con excel\Facturas en PDF\Factura-4.pdf"/>
  </r>
  <r>
    <d v="2025-03-05T00:00:00"/>
    <x v="3"/>
    <s v="Cliente 12"/>
    <x v="0"/>
    <s v="Producto 3"/>
    <x v="6"/>
    <n v="808"/>
    <s v="C:\Users\Sebastian\Desktop\Proyectos de verano\Facturas con excel\Facturas en PDF\Factura-4pdf"/>
  </r>
  <r>
    <d v="2025-03-05T00:00:00"/>
    <x v="3"/>
    <s v="Cliente 12"/>
    <x v="5"/>
    <s v="Producto 7"/>
    <x v="2"/>
    <n v="2079"/>
    <s v="C:\Users\Sebastian\Desktop\Proyectos de verano\Facturas con excel\Facturas en PDF\Factura-4.pdf"/>
  </r>
  <r>
    <d v="2025-03-06T00:00:00"/>
    <x v="4"/>
    <s v="Cliente 9"/>
    <x v="5"/>
    <s v="Producto 7"/>
    <x v="5"/>
    <n v="891"/>
    <s v="C:\Users\Sebastian\Desktop\Proyectos de verano\Facturas con excel\Facturas en PDF\Factura-5.pdf"/>
  </r>
  <r>
    <d v="2025-03-06T00:00:00"/>
    <x v="4"/>
    <s v="Cliente 9"/>
    <x v="6"/>
    <s v="Producto 11"/>
    <x v="7"/>
    <n v="1050"/>
    <s v="C:\Users\Sebastian\Desktop\Proyectos de verano\Facturas con excel\Facturas en PDF\Factura-5.pdf"/>
  </r>
  <r>
    <d v="2025-03-07T00:00:00"/>
    <x v="5"/>
    <s v="Cliente 14"/>
    <x v="7"/>
    <s v="Producto 14"/>
    <x v="8"/>
    <n v="1131.6799999999998"/>
    <s v="C:\Users\Sebastian\Desktop\Proyectos de verano\Facturas con excel\Facturas en PDF\Factura-6.pdf"/>
  </r>
  <r>
    <d v="2025-03-07T00:00:00"/>
    <x v="6"/>
    <s v="Cliente 8"/>
    <x v="7"/>
    <s v="Producto 14"/>
    <x v="9"/>
    <n v="2263.3599999999997"/>
    <s v="C:\Users\Sebastian\Desktop\Proyectos de verano\Facturas con excel\Facturas en PDF\Factura-7.pdf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776E5-3536-409C-8E5E-E818390139B7}" name="tdDetalle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3:C4" firstHeaderRow="1" firstDataRow="1" firstDataCol="3"/>
  <pivotFields count="8"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h="1" x="0"/>
        <item h="1" x="1"/>
        <item h="1" x="2"/>
        <item h="1" x="3"/>
        <item h="1" x="4"/>
        <item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1"/>
        <item x="0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1"/>
        <item x="2"/>
        <item x="3"/>
        <item x="0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5"/>
  </rowFields>
  <rowItems count="1">
    <i>
      <x v="5"/>
      <x v="7"/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35" dataDxfId="34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33" dataCellStyle="Descripción"/>
    <tableColumn id="2" xr3:uid="{00000000-0010-0000-0000-000002000000}" name="DESCRIPCIÓN" dataDxfId="32" dataCellStyle="Descripción">
      <calculatedColumnFormula>IFERROR(VLOOKUP(Factura[[#This Row],[CÓDIGO]],tblProductos[],2,), "")</calculatedColumnFormula>
    </tableColumn>
    <tableColumn id="4" xr3:uid="{0D33FDF2-4BA2-40D2-B945-3B30679527F6}" name="CANTIDAD" totalsRowLabel=" TOTAL " dataDxfId="31" totalsRowDxfId="1" dataCellStyle="Descripción"/>
    <tableColumn id="3" xr3:uid="{00000000-0010-0000-0000-000003000000}" name="IMPORTE" totalsRowFunction="sum" dataDxfId="30" totalsRowDxfId="0" dataCellStyle="Moneda">
      <calculatedColumnFormula>IFERROR(Factura[[#This Row],[CANTIDAD]]*VLOOKUP(Factura[[#This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2F825B-83DD-4DF1-A6AC-954D1D35A0AA}" name="Factura6" displayName="Factura6" ref="B12:E24" totalsRowCount="1" headerRowDxfId="29" dataDxfId="28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6B063F89-7D72-4BA3-9E6B-EB76789EFDA3}" name="CÓDIGO" dataDxfId="27" dataCellStyle="Descripción">
      <calculatedColumnFormula>IF('Consulta Factura'!$E$4='TD-Consulta-Factura'!A4,'TD-Consulta-Factura'!B4,"")</calculatedColumnFormula>
    </tableColumn>
    <tableColumn id="2" xr3:uid="{509DF343-8396-4F5B-A6F8-562B194BE2EB}" name="DESCRIPCIÓN" dataDxfId="26" dataCellStyle="Descripción">
      <calculatedColumnFormula>IFERROR(VLOOKUP(Factura6[[#This Row],[CÓDIGO]],tblProductos[],2,), "")</calculatedColumnFormula>
    </tableColumn>
    <tableColumn id="4" xr3:uid="{0A2FE64A-47E7-4D57-9B9A-40B185BE219D}" name="CANTIDAD" totalsRowLabel=" TOTAL " dataDxfId="25" totalsRowDxfId="24" dataCellStyle="Descripción">
      <calculatedColumnFormula>IF('Consulta Factura'!$E$4='TD-Consulta-Factura'!A4, 'TD-Consulta-Factura'!C4,"")</calculatedColumnFormula>
    </tableColumn>
    <tableColumn id="3" xr3:uid="{71905E0C-45D9-442D-8994-A87C4A89B23C}" name="IMPORTE" totalsRowFunction="sum" dataDxfId="23" totalsRowDxfId="22" dataCellStyle="Moneda">
      <calculatedColumnFormula>IFERROR(Factura6[[#This Row],[CANTIDAD]]*VLOOKUP(Factura6[[#This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173563-2D48-48CE-B024-FF6B7DB994EF}" name="tblDetalle" displayName="tblDetalle" ref="A1:H13" totalsRowShown="0" headerRowDxfId="21" headerRowBorderDxfId="20" tableBorderDxfId="19">
  <autoFilter ref="A1:H13" xr:uid="{50173563-2D48-48CE-B024-FF6B7DB994EF}"/>
  <tableColumns count="8">
    <tableColumn id="1" xr3:uid="{BA39C4EA-6A21-4CE5-BBCA-F3B801029DC8}" name="FECHA" dataDxfId="18"/>
    <tableColumn id="2" xr3:uid="{6242A955-DA82-46A6-AEC9-016E57FA0543}" name="CONSECUTIVO"/>
    <tableColumn id="3" xr3:uid="{F95F131A-2983-471A-8E31-113D4D103067}" name="FACTURADO A"/>
    <tableColumn id="4" xr3:uid="{F87D7395-F5FF-4851-9BD1-C08D490AD1F0}" name="CODIGO"/>
    <tableColumn id="5" xr3:uid="{CCE101A4-8E9C-4289-9601-63956B435361}" name="DESCRIPCION"/>
    <tableColumn id="6" xr3:uid="{17BE0BDC-A501-4E9D-AB16-5C40E758925B}" name="CANTIDAD"/>
    <tableColumn id="7" xr3:uid="{7D468C46-BF37-4FBB-9901-DC62B293ADF0}" name="IMPORTE"/>
    <tableColumn id="8" xr3:uid="{9C7690E0-E349-4310-AFCA-E90CCB1EC439}" name="NOMBRE_ARCHIV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17" headerRowBorderDxfId="16" tableBorderDxfId="15" totalsRowBorderDxfId="14">
  <autoFilter ref="A1:E15" xr:uid="{03A37DF5-B82A-4B72-AA51-D7B5873ED477}"/>
  <tableColumns count="5">
    <tableColumn id="1" xr3:uid="{6174EC7A-0FCA-489F-B3AE-4EC7B76F2547}" name="NOMBRE" dataDxfId="13"/>
    <tableColumn id="2" xr3:uid="{DE676BB1-098F-40F2-9DBD-C33FF41C9A8A}" name="NOMBRE DE LA EMPRESA" dataDxfId="12"/>
    <tableColumn id="3" xr3:uid="{D8AEC6D1-F974-4B2D-A5DF-E2E2DFFAC40E}" name="DIRECCION" dataDxfId="11"/>
    <tableColumn id="4" xr3:uid="{72AECE3D-DDC3-420D-996F-43B899A95BD1}" name="CIUDAD, ESTADO, CP" dataDxfId="10"/>
    <tableColumn id="5" xr3:uid="{ACBD6E94-2082-4BFD-BB62-7C95E40871BB}" name="TELEFONO" dataDxfId="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5" totalsRowShown="0" headerRowDxfId="8" headerRowBorderDxfId="7" tableBorderDxfId="6" totalsRowBorderDxfId="5">
  <autoFilter ref="A1:C15" xr:uid="{714A6FBE-576D-464F-966E-A102EBF05A90}"/>
  <tableColumns count="3">
    <tableColumn id="1" xr3:uid="{200C2602-2494-4A03-B455-12F4CE877860}" name="CODIGO" dataDxfId="4"/>
    <tableColumn id="2" xr3:uid="{84E7AA73-4108-474A-B05D-33700A089366}" name="DESCRIPCION" dataDxfId="3"/>
    <tableColumn id="3" xr3:uid="{5CC43374-95DD-4BFB-AD80-41709AF17EA0}" name="P.UNITARIO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249977111117893"/>
    <pageSetUpPr fitToPage="1"/>
  </sheetPr>
  <dimension ref="B1:E28"/>
  <sheetViews>
    <sheetView showGridLines="0" tabSelected="1" zoomScaleNormal="100" workbookViewId="0">
      <selection activeCell="J11" sqref="J11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39" t="s">
        <v>13</v>
      </c>
      <c r="C1" s="39"/>
      <c r="D1" s="38" t="s">
        <v>16</v>
      </c>
      <c r="E1" s="38"/>
    </row>
    <row r="2" spans="2:5" ht="46.5" customHeight="1" x14ac:dyDescent="0.2">
      <c r="B2" s="40" t="s">
        <v>14</v>
      </c>
      <c r="C2" s="40"/>
    </row>
    <row r="3" spans="2:5" ht="15" x14ac:dyDescent="0.25">
      <c r="B3" s="26"/>
      <c r="D3" s="5" t="s">
        <v>4</v>
      </c>
      <c r="E3" s="8">
        <f ca="1">TODAY()</f>
        <v>45723</v>
      </c>
    </row>
    <row r="4" spans="2:5" ht="32.25" customHeight="1" x14ac:dyDescent="0.2">
      <c r="B4" s="41" t="s">
        <v>11</v>
      </c>
      <c r="C4" s="42"/>
      <c r="D4" s="11" t="s">
        <v>12</v>
      </c>
      <c r="E4" s="12">
        <f ca="1">IF('Detalle de facturas'!I1="CONSECUTIVO",1,'Detalle de facturas'!I1+1)</f>
        <v>8</v>
      </c>
    </row>
    <row r="5" spans="2:5" ht="30" customHeight="1" x14ac:dyDescent="0.2">
      <c r="B5" s="13" t="s">
        <v>15</v>
      </c>
      <c r="D5" s="4" t="s">
        <v>5</v>
      </c>
      <c r="E5" s="6" t="s">
        <v>6</v>
      </c>
    </row>
    <row r="6" spans="2:5" ht="30" customHeight="1" x14ac:dyDescent="0.25">
      <c r="B6" s="2" t="s">
        <v>0</v>
      </c>
    </row>
    <row r="7" spans="2:5" ht="15" customHeight="1" x14ac:dyDescent="0.2"/>
    <row r="8" spans="2:5" ht="15" customHeight="1" x14ac:dyDescent="0.2">
      <c r="B8" t="str">
        <f>IFERROR(VLOOKUP(B7, tblClientes[], 2, ), "-")</f>
        <v>-</v>
      </c>
    </row>
    <row r="9" spans="2:5" ht="15" customHeight="1" x14ac:dyDescent="0.2">
      <c r="B9" t="str">
        <f>IFERROR(VLOOKUP(B7, tblClientes[], 3, ), "-")</f>
        <v>-</v>
      </c>
    </row>
    <row r="10" spans="2:5" ht="15" customHeight="1" x14ac:dyDescent="0.2">
      <c r="B10" t="str">
        <f>IFERROR(VLOOKUP(B7, tblClientes[], 4, ), "-")</f>
        <v>-</v>
      </c>
    </row>
    <row r="11" spans="2:5" ht="30" customHeight="1" x14ac:dyDescent="0.2">
      <c r="B11" s="3" t="str">
        <f>IFERROR(VLOOKUP(B7, tblClientes[], 5, ), "-")</f>
        <v>-</v>
      </c>
    </row>
    <row r="12" spans="2:5" ht="30" customHeight="1" x14ac:dyDescent="0.2">
      <c r="B12" s="1" t="s">
        <v>9</v>
      </c>
      <c r="C12" s="10" t="s">
        <v>1</v>
      </c>
      <c r="D12" s="1" t="s">
        <v>10</v>
      </c>
      <c r="E12" s="1" t="s">
        <v>7</v>
      </c>
    </row>
    <row r="13" spans="2:5" ht="30" customHeight="1" x14ac:dyDescent="0.2">
      <c r="B13" s="27"/>
      <c r="C13" s="28" t="str">
        <f>IFERROR(VLOOKUP(Factura[[#This Row],[CÓDIGO]],tblProductos[],2,), "")</f>
        <v/>
      </c>
      <c r="D13" s="29"/>
      <c r="E13" s="32" t="str">
        <f>IFERROR(Factura[[#This Row],[CANTIDAD]]*VLOOKUP(Factura[[#This Row],[CÓDIGO]], tblProductos[], 3, ),"")</f>
        <v/>
      </c>
    </row>
    <row r="14" spans="2:5" ht="30" customHeight="1" x14ac:dyDescent="0.2">
      <c r="B14" s="27"/>
      <c r="C14" s="28" t="str">
        <f>IFERROR(VLOOKUP(Factura[[#This Row],[CÓDIGO]],tblProductos[],2,), "")</f>
        <v/>
      </c>
      <c r="D14" s="29"/>
      <c r="E14" s="32" t="str">
        <f>IFERROR(Factura[[#This Row],[CANTIDAD]]*VLOOKUP(Factura[[#This Row],[CÓDIGO]], tblProductos[], 3, ),"")</f>
        <v/>
      </c>
    </row>
    <row r="15" spans="2:5" ht="30" customHeight="1" x14ac:dyDescent="0.2">
      <c r="B15" s="27"/>
      <c r="C15" s="28" t="str">
        <f>IFERROR(VLOOKUP(Factura[[#This Row],[CÓDIGO]],tblProductos[],2,), "")</f>
        <v/>
      </c>
      <c r="D15" s="29"/>
      <c r="E15" s="32" t="str">
        <f>IFERROR(Factura[[#This Row],[CANTIDAD]]*VLOOKUP(Factura[[#This Row],[CÓDIGO]], tblProductos[], 3, ),"")</f>
        <v/>
      </c>
    </row>
    <row r="16" spans="2:5" ht="30" customHeight="1" x14ac:dyDescent="0.2">
      <c r="B16" s="27"/>
      <c r="C16" s="28" t="str">
        <f>IFERROR(VLOOKUP(Factura[[#This Row],[CÓDIGO]],tblProductos[],2,), "")</f>
        <v/>
      </c>
      <c r="D16" s="29"/>
      <c r="E16" s="32" t="str">
        <f>IFERROR(Factura[[#This Row],[CANTIDAD]]*VLOOKUP(Factura[[#This Row],[CÓDIGO]], tblProductos[], 3, ),"")</f>
        <v/>
      </c>
    </row>
    <row r="17" spans="2:5" ht="30" customHeight="1" x14ac:dyDescent="0.2">
      <c r="B17" s="27"/>
      <c r="C17" s="28" t="str">
        <f>IFERROR(VLOOKUP(Factura[[#This Row],[CÓDIGO]],tblProductos[],2,), "")</f>
        <v/>
      </c>
      <c r="D17" s="29"/>
      <c r="E17" s="32" t="str">
        <f>IFERROR(Factura[[#This Row],[CANTIDAD]]*VLOOKUP(Factura[[#This Row],[CÓDIGO]], tblProductos[], 3, ),"")</f>
        <v/>
      </c>
    </row>
    <row r="18" spans="2:5" ht="30" customHeight="1" x14ac:dyDescent="0.2">
      <c r="B18" s="27"/>
      <c r="C18" s="28" t="str">
        <f>IFERROR(VLOOKUP(Factura[[#This Row],[CÓDIGO]],tblProductos[],2,), "")</f>
        <v/>
      </c>
      <c r="D18" s="29"/>
      <c r="E18" s="32" t="str">
        <f>IFERROR(Factura[[#This Row],[CANTIDAD]]*VLOOKUP(Factura[[#This Row],[CÓDIGO]], tblProductos[], 3, ),"")</f>
        <v/>
      </c>
    </row>
    <row r="19" spans="2:5" ht="30" customHeight="1" x14ac:dyDescent="0.2">
      <c r="B19" s="27"/>
      <c r="C19" s="28" t="str">
        <f>IFERROR(VLOOKUP(Factura[[#This Row],[CÓDIGO]],tblProductos[],2,), "")</f>
        <v/>
      </c>
      <c r="D19" s="29"/>
      <c r="E19" s="32" t="str">
        <f>IFERROR(Factura[[#This Row],[CANTIDAD]]*VLOOKUP(Factura[[#This Row],[CÓDIGO]], tblProductos[], 3, ),"")</f>
        <v/>
      </c>
    </row>
    <row r="20" spans="2:5" ht="30" customHeight="1" x14ac:dyDescent="0.2">
      <c r="B20" s="27"/>
      <c r="C20" s="28" t="str">
        <f>IFERROR(VLOOKUP(Factura[[#This Row],[CÓDIGO]],tblProductos[],2,), "")</f>
        <v/>
      </c>
      <c r="D20" s="29"/>
      <c r="E20" s="32" t="str">
        <f>IFERROR(Factura[[#This Row],[CANTIDAD]]*VLOOKUP(Factura[[#This Row],[CÓDIGO]], tblProductos[], 3, ),"")</f>
        <v/>
      </c>
    </row>
    <row r="21" spans="2:5" ht="30" customHeight="1" x14ac:dyDescent="0.2">
      <c r="B21" s="27"/>
      <c r="C21" s="28" t="str">
        <f>IFERROR(VLOOKUP(Factura[[#This Row],[CÓDIGO]],tblProductos[],2,), "")</f>
        <v/>
      </c>
      <c r="D21" s="29"/>
      <c r="E21" s="32" t="str">
        <f>IFERROR(Factura[[#This Row],[CANTIDAD]]*VLOOKUP(Factura[[#This Row],[CÓDIGO]], tblProductos[], 3, ),"")</f>
        <v/>
      </c>
    </row>
    <row r="22" spans="2:5" ht="30" customHeight="1" x14ac:dyDescent="0.2">
      <c r="B22" s="27"/>
      <c r="C22" s="28" t="str">
        <f>IFERROR(VLOOKUP(Factura[[#This Row],[CÓDIGO]],tblProductos[],2,), "")</f>
        <v/>
      </c>
      <c r="D22" s="29"/>
      <c r="E22" s="32" t="str">
        <f>IFERROR(Factura[[#This Row],[CANTIDAD]]*VLOOKUP(Factura[[#This Row],[CÓDIGO]], tblProductos[], 3, ),"")</f>
        <v/>
      </c>
    </row>
    <row r="23" spans="2:5" ht="30" customHeight="1" x14ac:dyDescent="0.2">
      <c r="B23" s="27"/>
      <c r="C23" s="28" t="str">
        <f>IFERROR(VLOOKUP(Factura[[#This Row],[CÓDIGO]],tblProductos[],2,), "")</f>
        <v/>
      </c>
      <c r="D23" s="29"/>
      <c r="E23" s="32" t="str">
        <f>IFERROR(Factura[[#This Row],[CANTIDAD]]*VLOOKUP(Factura[[#This Row],[CÓDIGO]], tblProductos[], 3, ),"")</f>
        <v/>
      </c>
    </row>
    <row r="24" spans="2:5" ht="30" customHeight="1" x14ac:dyDescent="0.2">
      <c r="D24" s="9" t="s">
        <v>8</v>
      </c>
      <c r="E24" s="33">
        <f>SUBTOTAL(109,Factura[IMPORTE])</f>
        <v>0</v>
      </c>
    </row>
    <row r="25" spans="2:5" ht="30" customHeight="1" x14ac:dyDescent="0.2">
      <c r="B25" s="45" t="s">
        <v>121</v>
      </c>
      <c r="C25" s="44" t="str" cm="1">
        <f t="array" ref="C25">cMoneda2(Factura[[#Totals],[IMPORTE]],"SOL","SOLES",1,"M.N.")</f>
        <v>CERO DE SOLES M.N.</v>
      </c>
      <c r="D25" s="43"/>
      <c r="E25" s="7"/>
    </row>
    <row r="26" spans="2:5" ht="30" customHeight="1" x14ac:dyDescent="0.2">
      <c r="B26" s="36" t="str">
        <f>"Todos los cheques se extenderán a nombre de "&amp;Nombre_empresa&amp;""</f>
        <v>Todos los cheques se extenderán a nombre de R I P L E Y</v>
      </c>
      <c r="C26" s="36"/>
      <c r="D26" s="36"/>
      <c r="E26" s="36"/>
    </row>
    <row r="27" spans="2:5" ht="30" customHeight="1" x14ac:dyDescent="0.2">
      <c r="B27" s="36" t="s">
        <v>2</v>
      </c>
      <c r="C27" s="36"/>
      <c r="D27" s="36"/>
      <c r="E27" s="36"/>
    </row>
    <row r="28" spans="2:5" ht="30" customHeight="1" x14ac:dyDescent="0.25">
      <c r="B28" s="37" t="s">
        <v>3</v>
      </c>
      <c r="C28" s="37"/>
      <c r="D28" s="37"/>
      <c r="E28" s="37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4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  <dataValidation type="list" allowBlank="1" showInputMessage="1" showErrorMessage="1" sqref="B13:B23" xr:uid="{D0A6C320-BCAD-4F88-9642-BF0C1AD86986}">
      <formula1>INDIRECT("tblProductos[CODIGO]")</formula1>
    </dataValidation>
  </dataValidations>
  <printOptions horizontalCentered="1"/>
  <pageMargins left="0.5" right="0.5" top="0.5" bottom="0.5" header="0.5" footer="0.5"/>
  <pageSetup paperSize="9" scale="91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73C3-58C9-4E31-9DB8-4C8E59057921}">
  <sheetPr codeName="Hoja6"/>
  <dimension ref="A3:C4"/>
  <sheetViews>
    <sheetView topLeftCell="A17" workbookViewId="0">
      <selection activeCell="J24" sqref="J24"/>
    </sheetView>
  </sheetViews>
  <sheetFormatPr baseColWidth="10" defaultRowHeight="14.25" x14ac:dyDescent="0.2"/>
  <cols>
    <col min="1" max="1" width="11.25" bestFit="1" customWidth="1"/>
    <col min="2" max="2" width="10.625" bestFit="1" customWidth="1"/>
    <col min="3" max="3" width="12.375" bestFit="1" customWidth="1"/>
  </cols>
  <sheetData>
    <row r="3" spans="1:3" ht="30" x14ac:dyDescent="0.25">
      <c r="A3" s="34" t="s">
        <v>109</v>
      </c>
      <c r="B3" s="34" t="s">
        <v>92</v>
      </c>
      <c r="C3" s="34" t="s">
        <v>10</v>
      </c>
    </row>
    <row r="4" spans="1:3" ht="15" x14ac:dyDescent="0.25">
      <c r="A4">
        <v>6</v>
      </c>
      <c r="B4">
        <v>1014</v>
      </c>
      <c r="C4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A791-F0C9-4FB9-ACB1-4A92B8A75387}">
  <sheetPr codeName="Hoja5">
    <tabColor theme="0" tint="-0.249977111117893"/>
    <pageSetUpPr fitToPage="1"/>
  </sheetPr>
  <dimension ref="B1:E28"/>
  <sheetViews>
    <sheetView showGridLines="0" zoomScaleNormal="100" workbookViewId="0">
      <selection activeCell="M22" sqref="M22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39" t="s">
        <v>13</v>
      </c>
      <c r="C1" s="39"/>
      <c r="D1" s="38" t="s">
        <v>16</v>
      </c>
      <c r="E1" s="38"/>
    </row>
    <row r="2" spans="2:5" ht="46.5" customHeight="1" x14ac:dyDescent="0.2">
      <c r="B2" s="40" t="s">
        <v>14</v>
      </c>
      <c r="C2" s="40"/>
    </row>
    <row r="3" spans="2:5" ht="15" x14ac:dyDescent="0.25">
      <c r="B3" s="26"/>
      <c r="D3" s="5" t="s">
        <v>4</v>
      </c>
      <c r="E3" s="8">
        <f ca="1">TODAY()</f>
        <v>45723</v>
      </c>
    </row>
    <row r="4" spans="2:5" ht="32.25" customHeight="1" x14ac:dyDescent="0.2">
      <c r="B4" s="41" t="s">
        <v>11</v>
      </c>
      <c r="C4" s="42"/>
      <c r="D4" s="11" t="s">
        <v>12</v>
      </c>
      <c r="E4" s="35">
        <v>6</v>
      </c>
    </row>
    <row r="5" spans="2:5" ht="30" customHeight="1" x14ac:dyDescent="0.2">
      <c r="B5" s="13" t="s">
        <v>15</v>
      </c>
      <c r="D5" s="4" t="s">
        <v>5</v>
      </c>
      <c r="E5" s="6" t="s">
        <v>6</v>
      </c>
    </row>
    <row r="6" spans="2:5" ht="30" customHeight="1" x14ac:dyDescent="0.25">
      <c r="B6" s="2" t="s">
        <v>0</v>
      </c>
      <c r="E6" t="str">
        <f>VLOOKUP(E4, tblDetalle[[#All],[CONSECUTIVO]:[NOMBRE_ARCHIVO]],7,0)</f>
        <v>C:\Users\Sebastian\Desktop\Proyectos de verano\Facturas con excel\Facturas en PDF\Factura-6.pdf</v>
      </c>
    </row>
    <row r="7" spans="2:5" ht="15" customHeight="1" x14ac:dyDescent="0.2">
      <c r="B7" t="str">
        <f>VLOOKUP(E4,tblDetalle[[CONSECUTIVO]:[IMPORTE]],2,TRUE)</f>
        <v>Cliente 14</v>
      </c>
    </row>
    <row r="8" spans="2:5" ht="15" customHeight="1" x14ac:dyDescent="0.2">
      <c r="B8" t="str">
        <f>IFERROR(VLOOKUP(B7, tblClientes[], 2, ), "-")</f>
        <v>Empresa 14</v>
      </c>
    </row>
    <row r="9" spans="2:5" ht="15" customHeight="1" x14ac:dyDescent="0.2">
      <c r="B9" t="str">
        <f>IFERROR(VLOOKUP(B7, tblClientes[], 3, ), "-")</f>
        <v>Dirección 14</v>
      </c>
    </row>
    <row r="10" spans="2:5" ht="15" customHeight="1" x14ac:dyDescent="0.2">
      <c r="B10" t="str">
        <f>IFERROR(VLOOKUP(B7, tblClientes[], 4, ), "-")</f>
        <v>Ciudad 14</v>
      </c>
    </row>
    <row r="11" spans="2:5" ht="30" customHeight="1" x14ac:dyDescent="0.2">
      <c r="B11" s="3" t="str">
        <f>IFERROR(VLOOKUP(B7, tblClientes[], 5, ), "-")</f>
        <v>Teléfono 14</v>
      </c>
    </row>
    <row r="12" spans="2:5" ht="30" customHeight="1" x14ac:dyDescent="0.2">
      <c r="B12" s="1" t="s">
        <v>9</v>
      </c>
      <c r="C12" s="10" t="s">
        <v>1</v>
      </c>
      <c r="D12" s="1" t="s">
        <v>10</v>
      </c>
      <c r="E12" s="1" t="s">
        <v>7</v>
      </c>
    </row>
    <row r="13" spans="2:5" ht="30" customHeight="1" x14ac:dyDescent="0.2">
      <c r="B13" s="27">
        <f>IF('Consulta Factura'!$E$4='TD-Consulta-Factura'!A4,'TD-Consulta-Factura'!B4,"")</f>
        <v>1014</v>
      </c>
      <c r="C13" s="28" t="str">
        <f>IFERROR(VLOOKUP(Factura6[[#This Row],[CÓDIGO]],tblProductos[],2,), "")</f>
        <v>Producto 14</v>
      </c>
      <c r="D13" s="29">
        <f>IF('Consulta Factura'!$E$4='TD-Consulta-Factura'!A4, 'TD-Consulta-Factura'!C4,"")</f>
        <v>11</v>
      </c>
      <c r="E13" s="32">
        <f>IFERROR(Factura6[[#This Row],[CANTIDAD]]*VLOOKUP(Factura6[[#This Row],[CÓDIGO]], tblProductos[], 3, ),"")</f>
        <v>1131.6799999999998</v>
      </c>
    </row>
    <row r="14" spans="2:5" ht="30" customHeight="1" x14ac:dyDescent="0.2">
      <c r="B14" s="27" t="str">
        <f>IF('Consulta Factura'!$E$4='TD-Consulta-Factura'!A5,'TD-Consulta-Factura'!B5,"")</f>
        <v/>
      </c>
      <c r="C14" s="28" t="str">
        <f>IFERROR(VLOOKUP(Factura6[[#This Row],[CÓDIGO]],tblProductos[],2,), "")</f>
        <v/>
      </c>
      <c r="D14" s="29" t="str">
        <f>IF('Consulta Factura'!$E$4='TD-Consulta-Factura'!A5, 'TD-Consulta-Factura'!C5,"")</f>
        <v/>
      </c>
      <c r="E14" s="32" t="str">
        <f>IFERROR(Factura6[[#This Row],[CANTIDAD]]*VLOOKUP(Factura6[[#This Row],[CÓDIGO]], tblProductos[], 3, ),"")</f>
        <v/>
      </c>
    </row>
    <row r="15" spans="2:5" ht="30" customHeight="1" x14ac:dyDescent="0.2">
      <c r="B15" s="27" t="str">
        <f>IF('Consulta Factura'!$E$4='TD-Consulta-Factura'!A6,'TD-Consulta-Factura'!B6,"")</f>
        <v/>
      </c>
      <c r="C15" s="28" t="str">
        <f>IFERROR(VLOOKUP(Factura6[[#This Row],[CÓDIGO]],tblProductos[],2,), "")</f>
        <v/>
      </c>
      <c r="D15" s="29" t="str">
        <f>IF('Consulta Factura'!$E$4='TD-Consulta-Factura'!A6, 'TD-Consulta-Factura'!C6,"")</f>
        <v/>
      </c>
      <c r="E15" s="32" t="str">
        <f>IFERROR(Factura6[[#This Row],[CANTIDAD]]*VLOOKUP(Factura6[[#This Row],[CÓDIGO]], tblProductos[], 3, ),"")</f>
        <v/>
      </c>
    </row>
    <row r="16" spans="2:5" ht="30" customHeight="1" x14ac:dyDescent="0.2">
      <c r="B16" s="27" t="str">
        <f>IF('Consulta Factura'!$E$4='TD-Consulta-Factura'!A7,'TD-Consulta-Factura'!B7,"")</f>
        <v/>
      </c>
      <c r="C16" s="28" t="str">
        <f>IFERROR(VLOOKUP(Factura6[[#This Row],[CÓDIGO]],tblProductos[],2,), "")</f>
        <v/>
      </c>
      <c r="D16" s="29" t="str">
        <f>IF('Consulta Factura'!$E$4='TD-Consulta-Factura'!A7, 'TD-Consulta-Factura'!C7,"")</f>
        <v/>
      </c>
      <c r="E16" s="32" t="str">
        <f>IFERROR(Factura6[[#This Row],[CANTIDAD]]*VLOOKUP(Factura6[[#This Row],[CÓDIGO]], tblProductos[], 3, ),"")</f>
        <v/>
      </c>
    </row>
    <row r="17" spans="2:5" ht="30" customHeight="1" x14ac:dyDescent="0.2">
      <c r="B17" s="27" t="str">
        <f>IF('Consulta Factura'!$E$4='TD-Consulta-Factura'!A8,'TD-Consulta-Factura'!B8,"")</f>
        <v/>
      </c>
      <c r="C17" s="28" t="str">
        <f>IFERROR(VLOOKUP(Factura6[[#This Row],[CÓDIGO]],tblProductos[],2,), "")</f>
        <v/>
      </c>
      <c r="D17" s="29" t="str">
        <f>IF('Consulta Factura'!$E$4='TD-Consulta-Factura'!A8, 'TD-Consulta-Factura'!C8,"")</f>
        <v/>
      </c>
      <c r="E17" s="32" t="str">
        <f>IFERROR(Factura6[[#This Row],[CANTIDAD]]*VLOOKUP(Factura6[[#This Row],[CÓDIGO]], tblProductos[], 3, ),"")</f>
        <v/>
      </c>
    </row>
    <row r="18" spans="2:5" ht="30" customHeight="1" x14ac:dyDescent="0.2">
      <c r="B18" s="27" t="str">
        <f>IF('Consulta Factura'!$E$4='TD-Consulta-Factura'!A9,'TD-Consulta-Factura'!B9,"")</f>
        <v/>
      </c>
      <c r="C18" s="28" t="str">
        <f>IFERROR(VLOOKUP(Factura6[[#This Row],[CÓDIGO]],tblProductos[],2,), "")</f>
        <v/>
      </c>
      <c r="D18" s="29" t="str">
        <f>IF('Consulta Factura'!$E$4='TD-Consulta-Factura'!A9, 'TD-Consulta-Factura'!C9,"")</f>
        <v/>
      </c>
      <c r="E18" s="32" t="str">
        <f>IFERROR(Factura6[[#This Row],[CANTIDAD]]*VLOOKUP(Factura6[[#This Row],[CÓDIGO]], tblProductos[], 3, ),"")</f>
        <v/>
      </c>
    </row>
    <row r="19" spans="2:5" ht="30" customHeight="1" x14ac:dyDescent="0.2">
      <c r="B19" s="27" t="str">
        <f>IF('Consulta Factura'!$E$4='TD-Consulta-Factura'!A10,'TD-Consulta-Factura'!B10,"")</f>
        <v/>
      </c>
      <c r="C19" s="28" t="str">
        <f>IFERROR(VLOOKUP(Factura6[[#This Row],[CÓDIGO]],tblProductos[],2,), "")</f>
        <v/>
      </c>
      <c r="D19" s="29" t="str">
        <f>IF('Consulta Factura'!$E$4='TD-Consulta-Factura'!A10, 'TD-Consulta-Factura'!C10,"")</f>
        <v/>
      </c>
      <c r="E19" s="32" t="str">
        <f>IFERROR(Factura6[[#This Row],[CANTIDAD]]*VLOOKUP(Factura6[[#This Row],[CÓDIGO]], tblProductos[], 3, ),"")</f>
        <v/>
      </c>
    </row>
    <row r="20" spans="2:5" ht="30" customHeight="1" x14ac:dyDescent="0.2">
      <c r="B20" s="27" t="str">
        <f>IF('Consulta Factura'!$E$4='TD-Consulta-Factura'!A11,'TD-Consulta-Factura'!B11,"")</f>
        <v/>
      </c>
      <c r="C20" s="28" t="str">
        <f>IFERROR(VLOOKUP(Factura6[[#This Row],[CÓDIGO]],tblProductos[],2,), "")</f>
        <v/>
      </c>
      <c r="D20" s="29" t="str">
        <f>IF('Consulta Factura'!$E$4='TD-Consulta-Factura'!A11, 'TD-Consulta-Factura'!C11,"")</f>
        <v/>
      </c>
      <c r="E20" s="32" t="str">
        <f>IFERROR(Factura6[[#This Row],[CANTIDAD]]*VLOOKUP(Factura6[[#This Row],[CÓDIGO]], tblProductos[], 3, ),"")</f>
        <v/>
      </c>
    </row>
    <row r="21" spans="2:5" ht="30" customHeight="1" x14ac:dyDescent="0.2">
      <c r="B21" s="27" t="str">
        <f>IF('Consulta Factura'!$E$4='TD-Consulta-Factura'!A12,'TD-Consulta-Factura'!B12,"")</f>
        <v/>
      </c>
      <c r="C21" s="28" t="str">
        <f>IFERROR(VLOOKUP(Factura6[[#This Row],[CÓDIGO]],tblProductos[],2,), "")</f>
        <v/>
      </c>
      <c r="D21" s="29" t="str">
        <f>IF('Consulta Factura'!$E$4='TD-Consulta-Factura'!A12, 'TD-Consulta-Factura'!C12,"")</f>
        <v/>
      </c>
      <c r="E21" s="32" t="str">
        <f>IFERROR(Factura6[[#This Row],[CANTIDAD]]*VLOOKUP(Factura6[[#This Row],[CÓDIGO]], tblProductos[], 3, ),"")</f>
        <v/>
      </c>
    </row>
    <row r="22" spans="2:5" ht="30" customHeight="1" x14ac:dyDescent="0.2">
      <c r="B22" s="27" t="str">
        <f>IF('Consulta Factura'!$E$4='TD-Consulta-Factura'!A13,'TD-Consulta-Factura'!B13,"")</f>
        <v/>
      </c>
      <c r="C22" s="28" t="str">
        <f>IFERROR(VLOOKUP(Factura6[[#This Row],[CÓDIGO]],tblProductos[],2,), "")</f>
        <v/>
      </c>
      <c r="D22" s="29" t="str">
        <f>IF('Consulta Factura'!$E$4='TD-Consulta-Factura'!A13, 'TD-Consulta-Factura'!C13,"")</f>
        <v/>
      </c>
      <c r="E22" s="32" t="str">
        <f>IFERROR(Factura6[[#This Row],[CANTIDAD]]*VLOOKUP(Factura6[[#This Row],[CÓDIGO]], tblProductos[], 3, ),"")</f>
        <v/>
      </c>
    </row>
    <row r="23" spans="2:5" ht="30" customHeight="1" x14ac:dyDescent="0.2">
      <c r="B23" s="27" t="str">
        <f>IF('Consulta Factura'!$E$4='TD-Consulta-Factura'!A14,'TD-Consulta-Factura'!B14,"")</f>
        <v/>
      </c>
      <c r="C23" s="28" t="str">
        <f>IFERROR(VLOOKUP(Factura6[[#This Row],[CÓDIGO]],tblProductos[],2,), "")</f>
        <v/>
      </c>
      <c r="D23" s="29" t="str">
        <f>IF('Consulta Factura'!$E$4='TD-Consulta-Factura'!A14, 'TD-Consulta-Factura'!C14,"")</f>
        <v/>
      </c>
      <c r="E23" s="32" t="str">
        <f>IFERROR(Factura6[[#This Row],[CANTIDAD]]*VLOOKUP(Factura6[[#This Row],[CÓDIGO]], tblProductos[], 3, ),"")</f>
        <v/>
      </c>
    </row>
    <row r="24" spans="2:5" ht="30" customHeight="1" x14ac:dyDescent="0.2">
      <c r="D24" s="9" t="s">
        <v>8</v>
      </c>
      <c r="E24" s="33">
        <f>SUBTOTAL(109,Factura6[IMPORTE])</f>
        <v>1131.6799999999998</v>
      </c>
    </row>
    <row r="25" spans="2:5" ht="30" customHeight="1" x14ac:dyDescent="0.2">
      <c r="B25" s="45" t="s">
        <v>121</v>
      </c>
      <c r="C25" s="44" t="str" cm="1">
        <f t="array" ref="C25">cMoneda2(Factura6[[#Totals],[IMPORTE]],"SOL","SOLES",1,"M.N.")</f>
        <v>MIL CIENTO TREINTA Y UN SOLES CON SESENTA Y OCHO CENTIMOS M.N.</v>
      </c>
      <c r="D25" s="43"/>
      <c r="E25" s="7"/>
    </row>
    <row r="26" spans="2:5" ht="30" customHeight="1" x14ac:dyDescent="0.2">
      <c r="B26" s="36" t="str">
        <f>"Todos los cheques se extenderán a nombre de "&amp;Nombre_empresa&amp;""</f>
        <v>Todos los cheques se extenderán a nombre de R I P L E Y</v>
      </c>
      <c r="C26" s="36"/>
      <c r="D26" s="36"/>
      <c r="E26" s="36"/>
    </row>
    <row r="27" spans="2:5" ht="30" customHeight="1" x14ac:dyDescent="0.2">
      <c r="B27" s="36" t="s">
        <v>2</v>
      </c>
      <c r="C27" s="36"/>
      <c r="D27" s="36"/>
      <c r="E27" s="36"/>
    </row>
    <row r="28" spans="2:5" ht="30" customHeight="1" x14ac:dyDescent="0.25">
      <c r="B28" s="37" t="s">
        <v>3</v>
      </c>
      <c r="C28" s="37"/>
      <c r="D28" s="37"/>
      <c r="E28" s="37"/>
    </row>
  </sheetData>
  <mergeCells count="7">
    <mergeCell ref="B28:E28"/>
    <mergeCell ref="B1:C1"/>
    <mergeCell ref="D1:E1"/>
    <mergeCell ref="B2:C2"/>
    <mergeCell ref="B4:C4"/>
    <mergeCell ref="B26:E26"/>
    <mergeCell ref="B27:E27"/>
  </mergeCells>
  <dataValidations count="22">
    <dataValidation allowBlank="1" showInputMessage="1" showErrorMessage="1" prompt="Escriba la fecha de la factura en la celda de la derecha." sqref="D3" xr:uid="{F4886F3C-C863-4F3B-9C0D-26752DEA30DA}"/>
    <dataValidation allowBlank="1" showInputMessage="1" showErrorMessage="1" prompt="Escriba el número de factura en la celda de la derecha." sqref="D4" xr:uid="{5C0A36CA-92DE-4621-AD0B-AC8D321AFD35}"/>
    <dataValidation allowBlank="1" showInputMessage="1" showErrorMessage="1" prompt="Escriba la descripción del producto de la factura en la celda de la derecha." sqref="D5" xr:uid="{35839811-31BD-4506-8AE9-F93D4997BD05}"/>
    <dataValidation allowBlank="1" showInputMessage="1" showErrorMessage="1" prompt="El título de esta hoja de cálculo se muestra en esta celda. Escriba los detalles de la factura de la celda C3 a la D5." sqref="D1" xr:uid="{AD9EE03D-8283-48D5-97ED-9F433AFC4039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6CBC3FD9-D2BE-4331-8B90-4F8B931C299E}"/>
    <dataValidation allowBlank="1" showInputMessage="1" showErrorMessage="1" prompt="Escriba el nombre de la empresa que factura en esta celda y el lema en la celda siguiente" sqref="B1" xr:uid="{68F8D99E-E03E-44C5-86E9-D21C38C14A58}"/>
    <dataValidation allowBlank="1" showInputMessage="1" showErrorMessage="1" prompt="Escriba la fecha de la factura en esta celda." sqref="E3" xr:uid="{9CADE890-BB8A-42D1-A490-69FD8B2F50FB}"/>
    <dataValidation allowBlank="1" showInputMessage="1" showErrorMessage="1" prompt="Escriba el número de factura en esta celda." sqref="E4" xr:uid="{1C1A6C05-871F-4FAE-A2FC-4048B752EF31}"/>
    <dataValidation allowBlank="1" showInputMessage="1" showErrorMessage="1" prompt="Escriba la descripción del producto de la factura en esta celda." sqref="E5" xr:uid="{6788AB57-8693-4915-A6D8-0B135D7ADBE1}"/>
    <dataValidation allowBlank="1" showInputMessage="1" showErrorMessage="1" prompt="Escriba el lema de la empresa en esta celda y la dirección de la empresa en las celdas siguientes." sqref="B2" xr:uid="{0781D9C1-4DCA-4110-97FB-4F275FD31DE6}"/>
    <dataValidation allowBlank="1" showInputMessage="1" showErrorMessage="1" prompt="Escriba la ciudad, el estado o la provincia y el código postal en esta celda." sqref="B4" xr:uid="{E01B94C5-7725-470B-8AD1-DFAF9B4E46D6}"/>
    <dataValidation allowBlank="1" showInputMessage="1" showErrorMessage="1" prompt="Escriba en esta celda los números de teléfono y fax entre corchetes." sqref="B5" xr:uid="{97CF4952-8F24-4DC3-9E98-8352902FDDD4}"/>
    <dataValidation allowBlank="1" showInputMessage="1" showErrorMessage="1" prompt="Escriba el nombre del cliente, el nombre de la empresa, la dirección y el número de teléfono en las celdas siguientes." sqref="B6" xr:uid="{32CB4394-CC4B-4D4D-813A-AB31D59D6CB5}"/>
    <dataValidation allowBlank="1" showInputMessage="1" showErrorMessage="1" prompt="Escriba el número de teléfono del cliente en esta celda." sqref="B11" xr:uid="{FAA69C6A-BC91-4E07-B301-8FF4EDE7440D}"/>
    <dataValidation allowBlank="1" showInputMessage="1" showErrorMessage="1" prompt="Escriba la ciudad, el estado y el código postal del cliente en esta celda." sqref="B10" xr:uid="{45359C07-C04A-4921-A10B-F59A70FD4145}"/>
    <dataValidation allowBlank="1" showInputMessage="1" showErrorMessage="1" prompt="Escriba la dirección del cliente en esta celda." sqref="B9" xr:uid="{5724E810-EC04-462B-9D9D-AE24BF8030C7}"/>
    <dataValidation allowBlank="1" showInputMessage="1" showErrorMessage="1" prompt="Escriba el nombre de la empresa en esta celda." sqref="B8" xr:uid="{DC4DF3EA-81D9-4E1B-934B-9252156C08A5}"/>
    <dataValidation allowBlank="1" showInputMessage="1" showErrorMessage="1" prompt="Escriba la descripción de la factura en la columna con este encabezado." sqref="B12" xr:uid="{C18D4685-9D1E-4D9F-A25F-B38E1A531C28}"/>
    <dataValidation allowBlank="1" showInputMessage="1" showErrorMessage="1" prompt="Escriba el campo personalizado en este encabezado y los datos correspondientes en la columna con este encabezado." sqref="C12:D12" xr:uid="{3B2E23B4-968D-498B-AFB5-AE269D92B712}"/>
    <dataValidation allowBlank="1" showInputMessage="1" showErrorMessage="1" prompt="Escriba el importe en la columna con este encabezado para cada descripción de la columna B. La última celda de la tabla contiene el importe adeudado." sqref="E12" xr:uid="{B5D07B29-9A8A-4F23-BFAF-101039D1F094}"/>
    <dataValidation allowBlank="1" showInputMessage="1" showErrorMessage="1" prompt="Escriba en esta celda el nombre de contacto, número de teléfono y correo electrónico de la empresa que factura." sqref="B27:E27" xr:uid="{66CD4811-A796-4E31-874F-B0D6CC4104D1}"/>
    <dataValidation allowBlank="1" showInputMessage="1" showErrorMessage="1" prompt="El nombre de la empresa se anexa automáticamente en esta celda" sqref="B26" xr:uid="{18DBC84C-93B6-42F8-9D62-4442AE7227E3}"/>
  </dataValidations>
  <printOptions horizontalCentered="1"/>
  <pageMargins left="0.5" right="0.5" top="0.5" bottom="0.5" header="0.5" footer="0.5"/>
  <pageSetup paperSize="9" scale="91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sheetPr codeName="Hoja2"/>
  <dimension ref="A1:J21"/>
  <sheetViews>
    <sheetView workbookViewId="0">
      <selection activeCell="G33" sqref="G33"/>
    </sheetView>
  </sheetViews>
  <sheetFormatPr baseColWidth="10" defaultRowHeight="14.25" x14ac:dyDescent="0.2"/>
  <cols>
    <col min="1" max="1" width="13.75" customWidth="1"/>
    <col min="2" max="2" width="17.375" customWidth="1"/>
    <col min="3" max="3" width="16.5" customWidth="1"/>
    <col min="4" max="4" width="14" customWidth="1"/>
    <col min="5" max="5" width="28.25" customWidth="1"/>
    <col min="6" max="6" width="13.125" customWidth="1"/>
    <col min="7" max="7" width="16.625" customWidth="1"/>
    <col min="8" max="8" width="85.875" customWidth="1"/>
    <col min="10" max="10" width="27.625" customWidth="1"/>
  </cols>
  <sheetData>
    <row r="1" spans="1:10" ht="28.5" x14ac:dyDescent="0.2">
      <c r="A1" s="24" t="s">
        <v>108</v>
      </c>
      <c r="B1" s="24" t="s">
        <v>109</v>
      </c>
      <c r="C1" s="24" t="s">
        <v>110</v>
      </c>
      <c r="D1" s="24" t="s">
        <v>92</v>
      </c>
      <c r="E1" s="24" t="s">
        <v>93</v>
      </c>
      <c r="F1" s="24" t="s">
        <v>10</v>
      </c>
      <c r="G1" s="24" t="s">
        <v>7</v>
      </c>
      <c r="H1" s="24" t="s">
        <v>112</v>
      </c>
      <c r="I1" s="30">
        <f t="array" aca="1" ref="I1" ca="1">OFFSET(B1,COUNTA(A:A)-1,0,COUNTA(A:A),1)</f>
        <v>7</v>
      </c>
      <c r="J1" s="30" t="s">
        <v>111</v>
      </c>
    </row>
    <row r="2" spans="1:10" x14ac:dyDescent="0.2">
      <c r="A2" s="31">
        <v>45720</v>
      </c>
      <c r="B2">
        <v>1</v>
      </c>
      <c r="C2" t="s">
        <v>22</v>
      </c>
      <c r="D2">
        <v>1003</v>
      </c>
      <c r="E2" t="s">
        <v>97</v>
      </c>
      <c r="F2">
        <v>10</v>
      </c>
      <c r="G2">
        <v>4040</v>
      </c>
      <c r="H2" t="s">
        <v>113</v>
      </c>
    </row>
    <row r="3" spans="1:10" x14ac:dyDescent="0.2">
      <c r="A3" s="31">
        <v>45720</v>
      </c>
      <c r="B3">
        <v>1</v>
      </c>
      <c r="C3" t="s">
        <v>22</v>
      </c>
      <c r="D3">
        <v>1001</v>
      </c>
      <c r="E3" t="s">
        <v>95</v>
      </c>
      <c r="F3">
        <v>1</v>
      </c>
      <c r="G3">
        <v>263</v>
      </c>
      <c r="H3" t="s">
        <v>113</v>
      </c>
    </row>
    <row r="4" spans="1:10" x14ac:dyDescent="0.2">
      <c r="A4" s="31">
        <v>45720</v>
      </c>
      <c r="B4">
        <v>2</v>
      </c>
      <c r="C4" t="s">
        <v>67</v>
      </c>
      <c r="D4">
        <v>1003</v>
      </c>
      <c r="E4" t="s">
        <v>97</v>
      </c>
      <c r="F4">
        <v>7</v>
      </c>
      <c r="G4">
        <v>2828</v>
      </c>
      <c r="H4" t="s">
        <v>114</v>
      </c>
    </row>
    <row r="5" spans="1:10" x14ac:dyDescent="0.2">
      <c r="A5" s="31">
        <v>45720</v>
      </c>
      <c r="B5">
        <v>2</v>
      </c>
      <c r="C5" t="s">
        <v>67</v>
      </c>
      <c r="D5">
        <v>1004</v>
      </c>
      <c r="E5" t="s">
        <v>98</v>
      </c>
      <c r="F5">
        <v>8</v>
      </c>
      <c r="G5">
        <v>2560</v>
      </c>
      <c r="H5" t="s">
        <v>114</v>
      </c>
    </row>
    <row r="6" spans="1:10" x14ac:dyDescent="0.2">
      <c r="A6" s="31">
        <v>45721</v>
      </c>
      <c r="B6">
        <v>3</v>
      </c>
      <c r="C6" t="s">
        <v>77</v>
      </c>
      <c r="D6">
        <v>1012</v>
      </c>
      <c r="E6" t="s">
        <v>106</v>
      </c>
      <c r="F6">
        <v>50</v>
      </c>
      <c r="G6">
        <v>24350</v>
      </c>
      <c r="H6" t="s">
        <v>115</v>
      </c>
    </row>
    <row r="7" spans="1:10" x14ac:dyDescent="0.2">
      <c r="A7" s="31">
        <v>45721</v>
      </c>
      <c r="B7">
        <v>4</v>
      </c>
      <c r="C7" t="s">
        <v>77</v>
      </c>
      <c r="D7">
        <v>1010</v>
      </c>
      <c r="E7" t="s">
        <v>104</v>
      </c>
      <c r="F7">
        <v>3</v>
      </c>
      <c r="G7">
        <v>336</v>
      </c>
      <c r="H7" t="s">
        <v>116</v>
      </c>
    </row>
    <row r="8" spans="1:10" x14ac:dyDescent="0.2">
      <c r="A8" s="31">
        <v>45721</v>
      </c>
      <c r="B8">
        <v>4</v>
      </c>
      <c r="C8" t="s">
        <v>77</v>
      </c>
      <c r="D8">
        <v>1003</v>
      </c>
      <c r="E8" t="s">
        <v>97</v>
      </c>
      <c r="F8">
        <v>2</v>
      </c>
      <c r="G8">
        <v>808</v>
      </c>
      <c r="H8" t="s">
        <v>117</v>
      </c>
    </row>
    <row r="9" spans="1:10" x14ac:dyDescent="0.2">
      <c r="A9" s="31">
        <v>45721</v>
      </c>
      <c r="B9">
        <v>4</v>
      </c>
      <c r="C9" t="s">
        <v>77</v>
      </c>
      <c r="D9">
        <v>1007</v>
      </c>
      <c r="E9" t="s">
        <v>101</v>
      </c>
      <c r="F9">
        <v>7</v>
      </c>
      <c r="G9">
        <v>2079</v>
      </c>
      <c r="H9" t="s">
        <v>116</v>
      </c>
    </row>
    <row r="10" spans="1:10" x14ac:dyDescent="0.2">
      <c r="A10" s="31">
        <v>45722</v>
      </c>
      <c r="B10">
        <v>5</v>
      </c>
      <c r="C10" t="s">
        <v>62</v>
      </c>
      <c r="D10">
        <v>1007</v>
      </c>
      <c r="E10" t="s">
        <v>101</v>
      </c>
      <c r="F10">
        <v>3</v>
      </c>
      <c r="G10">
        <v>891</v>
      </c>
      <c r="H10" t="s">
        <v>118</v>
      </c>
    </row>
    <row r="11" spans="1:10" x14ac:dyDescent="0.2">
      <c r="A11" s="31">
        <v>45722</v>
      </c>
      <c r="B11">
        <v>5</v>
      </c>
      <c r="C11" t="s">
        <v>62</v>
      </c>
      <c r="D11">
        <v>1011</v>
      </c>
      <c r="E11" t="s">
        <v>105</v>
      </c>
      <c r="F11">
        <v>6</v>
      </c>
      <c r="G11">
        <v>1050</v>
      </c>
      <c r="H11" t="s">
        <v>118</v>
      </c>
    </row>
    <row r="12" spans="1:10" x14ac:dyDescent="0.2">
      <c r="A12" s="31">
        <v>45723</v>
      </c>
      <c r="B12">
        <v>6</v>
      </c>
      <c r="C12" t="s">
        <v>87</v>
      </c>
      <c r="D12">
        <v>1014</v>
      </c>
      <c r="E12" t="s">
        <v>119</v>
      </c>
      <c r="F12">
        <v>11</v>
      </c>
      <c r="G12">
        <v>1131.6799999999998</v>
      </c>
      <c r="H12" t="s">
        <v>120</v>
      </c>
    </row>
    <row r="13" spans="1:10" x14ac:dyDescent="0.2">
      <c r="A13" s="31">
        <v>45723</v>
      </c>
      <c r="B13">
        <v>7</v>
      </c>
      <c r="C13" t="s">
        <v>57</v>
      </c>
      <c r="D13">
        <v>1014</v>
      </c>
      <c r="E13" t="s">
        <v>119</v>
      </c>
      <c r="F13">
        <v>22</v>
      </c>
      <c r="G13">
        <v>2263.3599999999997</v>
      </c>
      <c r="H13" t="s">
        <v>122</v>
      </c>
    </row>
    <row r="14" spans="1:10" x14ac:dyDescent="0.2">
      <c r="A14" s="31"/>
    </row>
    <row r="15" spans="1:10" x14ac:dyDescent="0.2">
      <c r="A15" s="31"/>
    </row>
    <row r="16" spans="1:10" x14ac:dyDescent="0.2">
      <c r="A16" s="31"/>
    </row>
    <row r="17" spans="1:1" x14ac:dyDescent="0.2">
      <c r="A17" s="31"/>
    </row>
    <row r="18" spans="1:1" x14ac:dyDescent="0.2">
      <c r="A18" s="31"/>
    </row>
    <row r="19" spans="1:1" x14ac:dyDescent="0.2">
      <c r="A19" s="31"/>
    </row>
    <row r="20" spans="1:1" x14ac:dyDescent="0.2">
      <c r="A20" s="31"/>
    </row>
    <row r="21" spans="1:1" x14ac:dyDescent="0.2">
      <c r="A21" s="3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sheetPr codeName="Hoja3"/>
  <dimension ref="A1:E15"/>
  <sheetViews>
    <sheetView workbookViewId="0">
      <selection activeCell="C13" sqref="C13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14" t="s">
        <v>17</v>
      </c>
      <c r="B1" s="15" t="s">
        <v>18</v>
      </c>
      <c r="C1" s="15" t="s">
        <v>19</v>
      </c>
      <c r="D1" s="15" t="s">
        <v>20</v>
      </c>
      <c r="E1" s="16" t="s">
        <v>21</v>
      </c>
    </row>
    <row r="2" spans="1:5" x14ac:dyDescent="0.2">
      <c r="A2" s="17" t="s">
        <v>22</v>
      </c>
      <c r="B2" s="18" t="s">
        <v>23</v>
      </c>
      <c r="C2" s="18" t="s">
        <v>24</v>
      </c>
      <c r="D2" s="18" t="s">
        <v>25</v>
      </c>
      <c r="E2" s="19" t="s">
        <v>26</v>
      </c>
    </row>
    <row r="3" spans="1:5" x14ac:dyDescent="0.2">
      <c r="A3" s="17" t="s">
        <v>27</v>
      </c>
      <c r="B3" s="18" t="s">
        <v>28</v>
      </c>
      <c r="C3" s="18" t="s">
        <v>29</v>
      </c>
      <c r="D3" s="18" t="s">
        <v>30</v>
      </c>
      <c r="E3" s="19" t="s">
        <v>31</v>
      </c>
    </row>
    <row r="4" spans="1:5" x14ac:dyDescent="0.2">
      <c r="A4" s="17" t="s">
        <v>32</v>
      </c>
      <c r="B4" s="18" t="s">
        <v>33</v>
      </c>
      <c r="C4" s="18" t="s">
        <v>34</v>
      </c>
      <c r="D4" s="18" t="s">
        <v>35</v>
      </c>
      <c r="E4" s="19" t="s">
        <v>36</v>
      </c>
    </row>
    <row r="5" spans="1:5" x14ac:dyDescent="0.2">
      <c r="A5" s="17" t="s">
        <v>37</v>
      </c>
      <c r="B5" s="18" t="s">
        <v>38</v>
      </c>
      <c r="C5" s="18" t="s">
        <v>39</v>
      </c>
      <c r="D5" s="18" t="s">
        <v>40</v>
      </c>
      <c r="E5" s="19" t="s">
        <v>41</v>
      </c>
    </row>
    <row r="6" spans="1:5" x14ac:dyDescent="0.2">
      <c r="A6" s="17" t="s">
        <v>42</v>
      </c>
      <c r="B6" s="18" t="s">
        <v>43</v>
      </c>
      <c r="C6" s="18" t="s">
        <v>44</v>
      </c>
      <c r="D6" s="18" t="s">
        <v>45</v>
      </c>
      <c r="E6" s="19" t="s">
        <v>46</v>
      </c>
    </row>
    <row r="7" spans="1:5" x14ac:dyDescent="0.2">
      <c r="A7" s="17" t="s">
        <v>47</v>
      </c>
      <c r="B7" s="18" t="s">
        <v>48</v>
      </c>
      <c r="C7" s="18" t="s">
        <v>49</v>
      </c>
      <c r="D7" s="18" t="s">
        <v>50</v>
      </c>
      <c r="E7" s="19" t="s">
        <v>51</v>
      </c>
    </row>
    <row r="8" spans="1:5" x14ac:dyDescent="0.2">
      <c r="A8" s="17" t="s">
        <v>52</v>
      </c>
      <c r="B8" s="18" t="s">
        <v>53</v>
      </c>
      <c r="C8" s="18" t="s">
        <v>54</v>
      </c>
      <c r="D8" s="18" t="s">
        <v>55</v>
      </c>
      <c r="E8" s="19" t="s">
        <v>56</v>
      </c>
    </row>
    <row r="9" spans="1:5" x14ac:dyDescent="0.2">
      <c r="A9" s="17" t="s">
        <v>57</v>
      </c>
      <c r="B9" s="18" t="s">
        <v>58</v>
      </c>
      <c r="C9" s="18" t="s">
        <v>59</v>
      </c>
      <c r="D9" s="18" t="s">
        <v>60</v>
      </c>
      <c r="E9" s="19" t="s">
        <v>61</v>
      </c>
    </row>
    <row r="10" spans="1:5" x14ac:dyDescent="0.2">
      <c r="A10" s="17" t="s">
        <v>62</v>
      </c>
      <c r="B10" s="18" t="s">
        <v>63</v>
      </c>
      <c r="C10" s="18" t="s">
        <v>64</v>
      </c>
      <c r="D10" s="18" t="s">
        <v>65</v>
      </c>
      <c r="E10" s="19" t="s">
        <v>66</v>
      </c>
    </row>
    <row r="11" spans="1:5" x14ac:dyDescent="0.2">
      <c r="A11" s="17" t="s">
        <v>67</v>
      </c>
      <c r="B11" s="18" t="s">
        <v>68</v>
      </c>
      <c r="C11" s="18" t="s">
        <v>69</v>
      </c>
      <c r="D11" s="18" t="s">
        <v>70</v>
      </c>
      <c r="E11" s="19" t="s">
        <v>71</v>
      </c>
    </row>
    <row r="12" spans="1:5" x14ac:dyDescent="0.2">
      <c r="A12" s="17" t="s">
        <v>72</v>
      </c>
      <c r="B12" s="18" t="s">
        <v>73</v>
      </c>
      <c r="C12" s="18" t="s">
        <v>74</v>
      </c>
      <c r="D12" s="18" t="s">
        <v>75</v>
      </c>
      <c r="E12" s="19" t="s">
        <v>76</v>
      </c>
    </row>
    <row r="13" spans="1:5" x14ac:dyDescent="0.2">
      <c r="A13" s="17" t="s">
        <v>77</v>
      </c>
      <c r="B13" s="18" t="s">
        <v>78</v>
      </c>
      <c r="C13" s="18" t="s">
        <v>79</v>
      </c>
      <c r="D13" s="18" t="s">
        <v>80</v>
      </c>
      <c r="E13" s="19" t="s">
        <v>81</v>
      </c>
    </row>
    <row r="14" spans="1:5" x14ac:dyDescent="0.2">
      <c r="A14" s="17" t="s">
        <v>82</v>
      </c>
      <c r="B14" s="18" t="s">
        <v>83</v>
      </c>
      <c r="C14" s="18" t="s">
        <v>84</v>
      </c>
      <c r="D14" s="18" t="s">
        <v>85</v>
      </c>
      <c r="E14" s="19" t="s">
        <v>86</v>
      </c>
    </row>
    <row r="15" spans="1:5" x14ac:dyDescent="0.2">
      <c r="A15" s="20" t="s">
        <v>87</v>
      </c>
      <c r="B15" s="21" t="s">
        <v>88</v>
      </c>
      <c r="C15" s="21" t="s">
        <v>89</v>
      </c>
      <c r="D15" s="21" t="s">
        <v>90</v>
      </c>
      <c r="E15" s="22" t="s">
        <v>91</v>
      </c>
    </row>
  </sheetData>
  <phoneticPr fontId="2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sheetPr codeName="Hoja4"/>
  <dimension ref="A1:C15"/>
  <sheetViews>
    <sheetView workbookViewId="0">
      <selection activeCell="G20" sqref="G20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23" t="s">
        <v>92</v>
      </c>
      <c r="B1" s="24" t="s">
        <v>93</v>
      </c>
      <c r="C1" s="25" t="s">
        <v>94</v>
      </c>
    </row>
    <row r="2" spans="1:3" x14ac:dyDescent="0.2">
      <c r="A2" s="17">
        <v>1001</v>
      </c>
      <c r="B2" s="18" t="s">
        <v>95</v>
      </c>
      <c r="C2" s="19">
        <v>263</v>
      </c>
    </row>
    <row r="3" spans="1:3" x14ac:dyDescent="0.2">
      <c r="A3" s="17">
        <v>1002</v>
      </c>
      <c r="B3" s="18" t="s">
        <v>96</v>
      </c>
      <c r="C3" s="19">
        <v>478</v>
      </c>
    </row>
    <row r="4" spans="1:3" x14ac:dyDescent="0.2">
      <c r="A4" s="17">
        <v>1003</v>
      </c>
      <c r="B4" s="18" t="s">
        <v>97</v>
      </c>
      <c r="C4" s="19">
        <v>404</v>
      </c>
    </row>
    <row r="5" spans="1:3" x14ac:dyDescent="0.2">
      <c r="A5" s="17">
        <v>1004</v>
      </c>
      <c r="B5" s="18" t="s">
        <v>98</v>
      </c>
      <c r="C5" s="19">
        <v>320</v>
      </c>
    </row>
    <row r="6" spans="1:3" x14ac:dyDescent="0.2">
      <c r="A6" s="17">
        <v>1005</v>
      </c>
      <c r="B6" s="18" t="s">
        <v>99</v>
      </c>
      <c r="C6" s="19">
        <v>355</v>
      </c>
    </row>
    <row r="7" spans="1:3" x14ac:dyDescent="0.2">
      <c r="A7" s="17">
        <v>1006</v>
      </c>
      <c r="B7" s="18" t="s">
        <v>100</v>
      </c>
      <c r="C7" s="19">
        <v>216</v>
      </c>
    </row>
    <row r="8" spans="1:3" x14ac:dyDescent="0.2">
      <c r="A8" s="17">
        <v>1007</v>
      </c>
      <c r="B8" s="18" t="s">
        <v>101</v>
      </c>
      <c r="C8" s="19">
        <v>297</v>
      </c>
    </row>
    <row r="9" spans="1:3" x14ac:dyDescent="0.2">
      <c r="A9" s="17">
        <v>1008</v>
      </c>
      <c r="B9" s="18" t="s">
        <v>102</v>
      </c>
      <c r="C9" s="19">
        <v>270</v>
      </c>
    </row>
    <row r="10" spans="1:3" x14ac:dyDescent="0.2">
      <c r="A10" s="17">
        <v>1009</v>
      </c>
      <c r="B10" s="18" t="s">
        <v>103</v>
      </c>
      <c r="C10" s="19">
        <v>281</v>
      </c>
    </row>
    <row r="11" spans="1:3" x14ac:dyDescent="0.2">
      <c r="A11" s="17">
        <v>1010</v>
      </c>
      <c r="B11" s="18" t="s">
        <v>104</v>
      </c>
      <c r="C11" s="19">
        <v>112</v>
      </c>
    </row>
    <row r="12" spans="1:3" x14ac:dyDescent="0.2">
      <c r="A12" s="17">
        <v>1011</v>
      </c>
      <c r="B12" s="18" t="s">
        <v>105</v>
      </c>
      <c r="C12" s="19">
        <v>175</v>
      </c>
    </row>
    <row r="13" spans="1:3" x14ac:dyDescent="0.2">
      <c r="A13" s="17">
        <v>1012</v>
      </c>
      <c r="B13" s="18" t="s">
        <v>106</v>
      </c>
      <c r="C13" s="19">
        <v>487</v>
      </c>
    </row>
    <row r="14" spans="1:3" x14ac:dyDescent="0.2">
      <c r="A14" s="20">
        <v>1013</v>
      </c>
      <c r="B14" s="21" t="s">
        <v>107</v>
      </c>
      <c r="C14" s="22">
        <v>261</v>
      </c>
    </row>
    <row r="15" spans="1:3" x14ac:dyDescent="0.2">
      <c r="A15" s="20">
        <v>1014</v>
      </c>
      <c r="B15" s="21" t="s">
        <v>119</v>
      </c>
      <c r="C15" s="22">
        <v>102.88</v>
      </c>
    </row>
  </sheetData>
  <phoneticPr fontId="2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12</vt:i4>
      </vt:variant>
    </vt:vector>
  </HeadingPairs>
  <TitlesOfParts>
    <vt:vector size="18" baseType="lpstr">
      <vt:lpstr>Factura simple</vt:lpstr>
      <vt:lpstr>TD-Consulta-Factura</vt:lpstr>
      <vt:lpstr>Consulta Factura</vt:lpstr>
      <vt:lpstr>Detalle de facturas</vt:lpstr>
      <vt:lpstr>Clientes</vt:lpstr>
      <vt:lpstr>Productos</vt:lpstr>
      <vt:lpstr>'Consulta Factura'!ColumnTitleRegion1..B11.1</vt:lpstr>
      <vt:lpstr>ColumnTitleRegion1..B11.1</vt:lpstr>
      <vt:lpstr>'Consulta Factura'!Nombre_empresa</vt:lpstr>
      <vt:lpstr>Nombre_empresa</vt:lpstr>
      <vt:lpstr>'Consulta Factura'!TítuloColumna1</vt:lpstr>
      <vt:lpstr>TítuloColumna1</vt:lpstr>
      <vt:lpstr>'Consulta Factura'!TítuloFilaRegión1..D5</vt:lpstr>
      <vt:lpstr>TítuloFilaRegión1..D5</vt:lpstr>
      <vt:lpstr>'Consulta Factura'!Títulos_a_imprimir</vt:lpstr>
      <vt:lpstr>'Factura simple'!Títulos_a_imprimir</vt:lpstr>
      <vt:lpstr>'Consulta Factura'!valCliente</vt:lpstr>
      <vt:lpstr>valCliente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2025-03-07T17:20:56Z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