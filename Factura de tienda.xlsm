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filterPrivacy="1" codeName="ThisWorkbook"/>
  <xr:revisionPtr revIDLastSave="0" documentId="13_ncr:1_{43E357F8-7CE4-4338-AEA0-F09CF002AFE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Factura simple" sheetId="1" r:id="rId1"/>
    <sheet name="TD-Consulta-Factura" sheetId="5" r:id="rId2"/>
    <sheet name="Consulta Factura" sheetId="6" r:id="rId3"/>
    <sheet name="Detalle de facturas" sheetId="2" r:id="rId4"/>
    <sheet name="Clientes" sheetId="3" r:id="rId5"/>
    <sheet name="Productos" sheetId="4" r:id="rId6"/>
  </sheets>
  <definedNames>
    <definedName name="_xleta.LOOKUP" hidden="1" xlm="1">#NAME?</definedName>
    <definedName name="ColumnTitleRegion1..B11.1" localSheetId="2">'Consulta Factura'!$B$6</definedName>
    <definedName name="ColumnTitleRegion1..B11.1">'Factura simple'!$B$6</definedName>
    <definedName name="Nombre_empresa" localSheetId="2">'Consulta Factura'!$B$1</definedName>
    <definedName name="Nombre_empresa">'Factura simple'!$B$1</definedName>
    <definedName name="TítuloColumna1" localSheetId="2">Factura6[[#Headers],[CÓDIGO]]</definedName>
    <definedName name="TítuloColumna1">Factura[[#Headers],[CÓDIGO]]</definedName>
    <definedName name="TítuloFilaRegión1..D5" localSheetId="2">'Consulta Factura'!$D$3</definedName>
    <definedName name="TítuloFilaRegión1..D5">'Factura simple'!$D$3</definedName>
    <definedName name="_xlnm.Print_Titles" localSheetId="2">'Consulta Factura'!$12:$12</definedName>
    <definedName name="_xlnm.Print_Titles" localSheetId="0">'Factura simple'!$12:$12</definedName>
    <definedName name="valCliente" localSheetId="2">'Consulta Factura'!$B$7</definedName>
    <definedName name="valCliente">'Factura simple'!$B$7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6" l="1"/>
  <c r="D13" i="6"/>
  <c r="D14" i="6"/>
  <c r="D15" i="6"/>
  <c r="D16" i="6"/>
  <c r="D17" i="6"/>
  <c r="D18" i="6"/>
  <c r="D19" i="6"/>
  <c r="D20" i="6"/>
  <c r="D21" i="6"/>
  <c r="D22" i="6"/>
  <c r="D23" i="6"/>
  <c r="B14" i="6"/>
  <c r="C14" i="6" s="1"/>
  <c r="B13" i="6"/>
  <c r="C13" i="6" s="1"/>
  <c r="B15" i="6"/>
  <c r="C15" i="6" s="1"/>
  <c r="B16" i="6"/>
  <c r="B17" i="6"/>
  <c r="C17" i="6" s="1"/>
  <c r="B18" i="6"/>
  <c r="C18" i="6" s="1"/>
  <c r="B19" i="6"/>
  <c r="C19" i="6" s="1"/>
  <c r="B20" i="6"/>
  <c r="C20" i="6" s="1"/>
  <c r="B21" i="6"/>
  <c r="B22" i="6"/>
  <c r="C22" i="6" s="1"/>
  <c r="B23" i="6"/>
  <c r="C23" i="6" s="1"/>
  <c r="B7" i="6"/>
  <c r="B10" i="6" s="1"/>
  <c r="B26" i="6"/>
  <c r="E3" i="6"/>
  <c r="C14" i="1"/>
  <c r="C15" i="1"/>
  <c r="C16" i="1"/>
  <c r="E14" i="1"/>
  <c r="E15" i="1"/>
  <c r="E16" i="1"/>
  <c r="E17" i="1"/>
  <c r="E18" i="1"/>
  <c r="C17" i="1"/>
  <c r="C18" i="1"/>
  <c r="E19" i="1"/>
  <c r="E20" i="1"/>
  <c r="E21" i="1"/>
  <c r="E22" i="1"/>
  <c r="E23" i="1"/>
  <c r="C19" i="1"/>
  <c r="C20" i="1"/>
  <c r="C21" i="1"/>
  <c r="C22" i="1"/>
  <c r="C23" i="1"/>
  <c r="C13" i="1"/>
  <c r="I1" i="2" a="1"/>
  <c r="I1" i="2" s="1"/>
  <c r="E4" i="1" s="1"/>
  <c r="E13" i="1"/>
  <c r="B8" i="1"/>
  <c r="B11" i="1"/>
  <c r="B10" i="1"/>
  <c r="B9" i="1"/>
  <c r="B26" i="1"/>
  <c r="E3" i="1"/>
  <c r="E13" i="6" l="1"/>
  <c r="E19" i="6"/>
  <c r="E15" i="6"/>
  <c r="E22" i="6"/>
  <c r="E16" i="6"/>
  <c r="E23" i="6"/>
  <c r="E21" i="6"/>
  <c r="C16" i="6"/>
  <c r="E17" i="6"/>
  <c r="E18" i="6"/>
  <c r="E14" i="6"/>
  <c r="E20" i="6"/>
  <c r="C21" i="6"/>
  <c r="B11" i="6"/>
  <c r="B8" i="6"/>
  <c r="B9" i="6"/>
  <c r="E24" i="1"/>
  <c r="E24" i="6" l="1"/>
</calcChain>
</file>

<file path=xl/sharedStrings.xml><?xml version="1.0" encoding="utf-8"?>
<sst xmlns="http://schemas.openxmlformats.org/spreadsheetml/2006/main" count="167" uniqueCount="119">
  <si>
    <t>Facturar a:</t>
  </si>
  <si>
    <t>DESCRIPCIÓN</t>
  </si>
  <si>
    <t>Si tiene cualquier tipo de pregunta acerca de esta factura, póngase en contacto con Nombre, Número de teléfono o Correo electrónico</t>
  </si>
  <si>
    <t xml:space="preserve">GRACIAS POR SU CONFIANZA </t>
  </si>
  <si>
    <t>FECHA:</t>
  </si>
  <si>
    <t>PARA:</t>
  </si>
  <si>
    <t>Descripción del proyecto o servicio</t>
  </si>
  <si>
    <t>IMPORTE</t>
  </si>
  <si>
    <t xml:space="preserve"> TOTAL </t>
  </si>
  <si>
    <t>CÓDIGO</t>
  </si>
  <si>
    <t>CANTIDAD</t>
  </si>
  <si>
    <t>C.C.Plaza Lima Sur. Av Paseo de la  Republica 355- Chorrillos. Piso 2</t>
  </si>
  <si>
    <t>N.º DE FACTURA:</t>
  </si>
  <si>
    <t>R I P L E Y</t>
  </si>
  <si>
    <t>Trabajamos para cumplir con los sueños de las personas y mejorar su calidad de vida a través de nuestros productos y servicios.</t>
  </si>
  <si>
    <r>
      <rPr>
        <b/>
        <sz val="11"/>
        <rFont val="Roboto"/>
      </rPr>
      <t>Número de télefono:</t>
    </r>
    <r>
      <rPr>
        <sz val="11"/>
        <rFont val="Roboto"/>
      </rPr>
      <t xml:space="preserve"> 970311999</t>
    </r>
  </si>
  <si>
    <t>F A C T U R A</t>
  </si>
  <si>
    <t>NOMBRE</t>
  </si>
  <si>
    <t>NOMBRE DE LA EMPRESA</t>
  </si>
  <si>
    <t>DIRECCION</t>
  </si>
  <si>
    <t>CIUDAD, ESTADO, CP</t>
  </si>
  <si>
    <t>TELEFONO</t>
  </si>
  <si>
    <t>Cliente 1</t>
  </si>
  <si>
    <t>Empresa 1</t>
  </si>
  <si>
    <t>Dirección 1</t>
  </si>
  <si>
    <t>Ciudad 1</t>
  </si>
  <si>
    <t>Teléfono 1</t>
  </si>
  <si>
    <t>Cliente 2</t>
  </si>
  <si>
    <t>Empresa 2</t>
  </si>
  <si>
    <t>Dirección 2</t>
  </si>
  <si>
    <t>Ciudad 2</t>
  </si>
  <si>
    <t>Teléfono 2</t>
  </si>
  <si>
    <t>Cliente 3</t>
  </si>
  <si>
    <t>Empresa 3</t>
  </si>
  <si>
    <t>Dirección 3</t>
  </si>
  <si>
    <t>Ciudad 3</t>
  </si>
  <si>
    <t>Teléfono 3</t>
  </si>
  <si>
    <t>Cliente 4</t>
  </si>
  <si>
    <t>Empresa 4</t>
  </si>
  <si>
    <t>Dirección 4</t>
  </si>
  <si>
    <t>Ciudad 4</t>
  </si>
  <si>
    <t>Teléfono 4</t>
  </si>
  <si>
    <t>Cliente 5</t>
  </si>
  <si>
    <t>Empresa 5</t>
  </si>
  <si>
    <t>Dirección 5</t>
  </si>
  <si>
    <t>Ciudad 5</t>
  </si>
  <si>
    <t>Teléfono 5</t>
  </si>
  <si>
    <t>Cliente 6</t>
  </si>
  <si>
    <t>Empresa 6</t>
  </si>
  <si>
    <t>Dirección 6</t>
  </si>
  <si>
    <t>Ciudad 6</t>
  </si>
  <si>
    <t>Teléfono 6</t>
  </si>
  <si>
    <t>Cliente 7</t>
  </si>
  <si>
    <t>Empresa 7</t>
  </si>
  <si>
    <t>Dirección 7</t>
  </si>
  <si>
    <t>Ciudad 7</t>
  </si>
  <si>
    <t>Teléfono 7</t>
  </si>
  <si>
    <t>Cliente 8</t>
  </si>
  <si>
    <t>Empresa 8</t>
  </si>
  <si>
    <t>Dirección 8</t>
  </si>
  <si>
    <t>Ciudad 8</t>
  </si>
  <si>
    <t>Teléfono 8</t>
  </si>
  <si>
    <t>Cliente 9</t>
  </si>
  <si>
    <t>Empresa 9</t>
  </si>
  <si>
    <t>Dirección 9</t>
  </si>
  <si>
    <t>Ciudad 9</t>
  </si>
  <si>
    <t>Teléfono 9</t>
  </si>
  <si>
    <t>Cliente 10</t>
  </si>
  <si>
    <t>Empresa 10</t>
  </si>
  <si>
    <t>Dirección 10</t>
  </si>
  <si>
    <t>Ciudad 10</t>
  </si>
  <si>
    <t>Teléfono 10</t>
  </si>
  <si>
    <t>Cliente 11</t>
  </si>
  <si>
    <t>Empresa 11</t>
  </si>
  <si>
    <t>Dirección 11</t>
  </si>
  <si>
    <t>Ciudad 11</t>
  </si>
  <si>
    <t>Teléfono 11</t>
  </si>
  <si>
    <t>Cliente 12</t>
  </si>
  <si>
    <t>Empresa 12</t>
  </si>
  <si>
    <t>Dirección 12</t>
  </si>
  <si>
    <t>Ciudad 12</t>
  </si>
  <si>
    <t>Teléfono 12</t>
  </si>
  <si>
    <t>Cliente 13</t>
  </si>
  <si>
    <t>Empresa 13</t>
  </si>
  <si>
    <t>Dirección 13</t>
  </si>
  <si>
    <t>Ciudad 13</t>
  </si>
  <si>
    <t>Teléfono 13</t>
  </si>
  <si>
    <t>Cliente 14</t>
  </si>
  <si>
    <t>Empresa 14</t>
  </si>
  <si>
    <t>Dirección 14</t>
  </si>
  <si>
    <t>Ciudad 14</t>
  </si>
  <si>
    <t>Teléfono 14</t>
  </si>
  <si>
    <t>CODIGO</t>
  </si>
  <si>
    <t>DESCRIPCION</t>
  </si>
  <si>
    <t>P.UNITARIO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</si>
  <si>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</si>
  <si>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</si>
  <si>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</si>
  <si>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</si>
  <si>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</si>
  <si>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</si>
  <si>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</si>
  <si>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</si>
  <si>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</si>
  <si>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</si>
  <si>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</si>
  <si>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</si>
  <si>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</si>
  <si>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FECHA</t>
  </si>
  <si>
    <t>CONSECUTIVO</t>
  </si>
  <si>
    <t>FACTURADO A</t>
  </si>
  <si>
    <t>Devuelve el último valor de la columna B</t>
  </si>
  <si>
    <t>NOMBRE_ARCHIVO</t>
  </si>
  <si>
    <t>C:\Users\Sebastian\Desktop\Proyectos de verano\Facturas con excel\Facturas en PDF\Factura-1.pdf</t>
  </si>
  <si>
    <t>C:\Users\Sebastian\Desktop\Proyectos de verano\Facturas con excel\Facturas en PDF\Factura-2.pdf</t>
  </si>
  <si>
    <t>C:\Users\Sebastian\Desktop\Proyectos de verano\Facturas con excel\Facturas en PDF\Factura-3.pdf</t>
  </si>
  <si>
    <t>C:\Users\Sebastian\Desktop\Proyectos de verano\Facturas con excel\Facturas en PDF\Factura-4.pdf</t>
  </si>
  <si>
    <t>C:\Users\Sebastian\Desktop\Proyectos de verano\Facturas con excel\Facturas en PDF\Factura-4pdf</t>
  </si>
  <si>
    <t>C:\Users\Sebastian\Desktop\Proyectos de verano\Facturas con excel\Facturas en PDF\Factura-5.pdf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</si>
</sst>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[$-409]mmmm\ d\,\ yyyy;@"/>
    <numFmt numFmtId="169" formatCode="[&lt;=9999999]###\-####;\(###\)\ ###\-####"/>
    <numFmt numFmtId="170" formatCode="[$-C0A]d\ &quot;de&quot;\ mmmm\ &quot;de&quot;\ yyyy;@"/>
    <numFmt numFmtId="171" formatCode="_-[$S/-280A]\ * #,##0.00_-;\-[$S/-280A]\ * #,##0.00_-;_-[$S/-280A]\ * &quot;-&quot;??_-;_-@_-"/>
  </numFmts>
  <fonts count="28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28"/>
      <color theme="1" tint="0.499984740745262"/>
      <name val="Arial"/>
      <family val="2"/>
      <scheme val="major"/>
    </font>
    <font>
      <sz val="11"/>
      <name val="Arial"/>
      <family val="2"/>
    </font>
    <font>
      <b/>
      <sz val="11"/>
      <color theme="1"/>
      <name val="Arial"/>
      <family val="2"/>
      <scheme val="minor"/>
    </font>
    <font>
      <b/>
      <sz val="18"/>
      <color theme="1" tint="0.1499679555650502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3F3F76"/>
      <name val="Arial"/>
      <family val="2"/>
      <scheme val="minor"/>
    </font>
    <font>
      <sz val="11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0"/>
      <name val="Bodoni MT"/>
      <family val="1"/>
    </font>
    <font>
      <b/>
      <i/>
      <sz val="11"/>
      <color theme="1" tint="0.34998626667073579"/>
      <name val="Roboto"/>
    </font>
    <font>
      <sz val="11"/>
      <name val="Roboto"/>
    </font>
    <font>
      <b/>
      <sz val="11"/>
      <name val="Roboto"/>
    </font>
    <font>
      <sz val="28"/>
      <color theme="1"/>
      <name val="Bodoni MT"/>
      <family val="1"/>
    </font>
    <font>
      <sz val="8"/>
      <name val="Arial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2">
    <xf numFmtId="0" fontId="0" fillId="0" borderId="0">
      <alignment wrapText="1"/>
    </xf>
    <xf numFmtId="168" fontId="5" fillId="0" borderId="0" applyFont="0" applyFill="0" applyBorder="0">
      <alignment horizontal="right"/>
    </xf>
    <xf numFmtId="165" fontId="5" fillId="0" borderId="0" applyFont="0" applyFill="0" applyBorder="0" applyProtection="0">
      <alignment horizontal="right" vertical="center"/>
    </xf>
    <xf numFmtId="0" fontId="4" fillId="0" borderId="0" applyNumberFormat="0" applyFill="0" applyBorder="0" applyProtection="0">
      <alignment horizontal="right"/>
    </xf>
    <xf numFmtId="0" fontId="7" fillId="0" borderId="0" applyNumberFormat="0" applyFill="0" applyProtection="0"/>
    <xf numFmtId="0" fontId="8" fillId="0" borderId="0" applyNumberFormat="0" applyFill="0" applyProtection="0">
      <alignment vertical="top" wrapText="1"/>
    </xf>
    <xf numFmtId="0" fontId="10" fillId="0" borderId="0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Protection="0">
      <alignment horizontal="center"/>
    </xf>
    <xf numFmtId="165" fontId="6" fillId="0" borderId="0" applyProtection="0">
      <alignment horizontal="right" vertical="center"/>
    </xf>
    <xf numFmtId="0" fontId="5" fillId="0" borderId="0" applyNumberFormat="0" applyFont="0" applyFill="0" applyBorder="0">
      <alignment horizontal="right" wrapText="1"/>
    </xf>
    <xf numFmtId="169" fontId="5" fillId="0" borderId="0" applyFont="0" applyFill="0" applyBorder="0">
      <alignment horizontal="left" vertical="top"/>
    </xf>
    <xf numFmtId="0" fontId="5" fillId="0" borderId="0" applyFont="0" applyFill="0" applyBorder="0">
      <alignment horizontal="right" vertical="top" wrapText="1"/>
    </xf>
    <xf numFmtId="0" fontId="5" fillId="0" borderId="0" applyFont="0" applyFill="0" applyBorder="0">
      <alignment vertical="center" wrapText="1"/>
    </xf>
    <xf numFmtId="0" fontId="11" fillId="3" borderId="2" applyNumberFormat="0" applyAlignment="0" applyProtection="0"/>
    <xf numFmtId="167" fontId="12" fillId="0" borderId="0" applyFont="0" applyFill="0" applyBorder="0" applyAlignment="0" applyProtection="0"/>
    <xf numFmtId="166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4" borderId="0" applyNumberFormat="0" applyBorder="0" applyAlignment="0" applyProtection="0"/>
    <xf numFmtId="0" fontId="14" fillId="5" borderId="0" applyNumberFormat="0" applyBorder="0" applyAlignment="0" applyProtection="0"/>
    <xf numFmtId="0" fontId="15" fillId="6" borderId="0" applyNumberFormat="0" applyBorder="0" applyAlignment="0" applyProtection="0"/>
    <xf numFmtId="0" fontId="16" fillId="7" borderId="3" applyNumberFormat="0" applyAlignment="0" applyProtection="0"/>
    <xf numFmtId="0" fontId="17" fillId="7" borderId="2" applyNumberFormat="0" applyAlignment="0" applyProtection="0"/>
    <xf numFmtId="0" fontId="18" fillId="0" borderId="4" applyNumberFormat="0" applyFill="0" applyAlignment="0" applyProtection="0"/>
    <xf numFmtId="0" fontId="19" fillId="8" borderId="5" applyNumberFormat="0" applyAlignment="0" applyProtection="0"/>
    <xf numFmtId="0" fontId="20" fillId="0" borderId="0" applyNumberFormat="0" applyFill="0" applyBorder="0" applyAlignment="0" applyProtection="0"/>
    <xf numFmtId="0" fontId="12" fillId="9" borderId="6" applyNumberFormat="0" applyFont="0" applyAlignment="0" applyProtection="0"/>
    <xf numFmtId="0" fontId="21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1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1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1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1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</cellStyleXfs>
  <cellXfs count="44">
    <xf numFmtId="0" fontId="0" fillId="0" borderId="0" xfId="0">
      <alignment wrapText="1"/>
    </xf>
    <xf numFmtId="0" fontId="0" fillId="0" borderId="0" xfId="0" applyAlignment="1">
      <alignment horizontal="center" vertical="center"/>
    </xf>
    <xf numFmtId="0" fontId="10" fillId="0" borderId="0" xfId="6"/>
    <xf numFmtId="169" fontId="0" fillId="0" borderId="0" xfId="11" applyFont="1">
      <alignment horizontal="left" vertical="top"/>
    </xf>
    <xf numFmtId="165" fontId="6" fillId="0" borderId="0" xfId="9">
      <alignment horizontal="right" vertical="center"/>
    </xf>
    <xf numFmtId="0" fontId="10" fillId="0" borderId="0" xfId="12" applyFont="1">
      <alignment horizontal="right" vertical="top" wrapText="1"/>
    </xf>
    <xf numFmtId="0" fontId="10" fillId="0" borderId="0" xfId="10" applyFont="1">
      <alignment horizontal="right" wrapText="1"/>
    </xf>
    <xf numFmtId="0" fontId="9" fillId="0" borderId="0" xfId="12" applyFont="1">
      <alignment horizontal="right" vertical="top" wrapText="1"/>
    </xf>
    <xf numFmtId="165" fontId="3" fillId="0" borderId="0" xfId="2" applyFont="1" applyFill="1" applyBorder="1">
      <alignment horizontal="right" vertical="center"/>
    </xf>
    <xf numFmtId="170" fontId="0" fillId="0" borderId="0" xfId="10" applyNumberFormat="1" applyFont="1">
      <alignment horizontal="right" wrapText="1"/>
    </xf>
    <xf numFmtId="165" fontId="6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0" fillId="0" borderId="0" xfId="10" applyFont="1" applyAlignment="1">
      <alignment horizontal="right" vertical="center" wrapText="1"/>
    </xf>
    <xf numFmtId="0" fontId="0" fillId="0" borderId="0" xfId="10" applyFont="1" applyAlignment="1">
      <alignment horizontal="right" vertical="center" wrapText="1"/>
    </xf>
    <xf numFmtId="169" fontId="24" fillId="0" borderId="0" xfId="11" applyFont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>
      <alignment wrapText="1"/>
    </xf>
    <xf numFmtId="0" fontId="0" fillId="0" borderId="1" xfId="0" applyBorder="1">
      <alignment wrapText="1"/>
    </xf>
    <xf numFmtId="0" fontId="0" fillId="0" borderId="7" xfId="0" applyBorder="1">
      <alignment wrapText="1"/>
    </xf>
    <xf numFmtId="0" fontId="0" fillId="0" borderId="12" xfId="0" applyBorder="1">
      <alignment wrapText="1"/>
    </xf>
    <xf numFmtId="0" fontId="0" fillId="0" borderId="13" xfId="0" applyBorder="1">
      <alignment wrapText="1"/>
    </xf>
    <xf numFmtId="0" fontId="0" fillId="0" borderId="14" xfId="0" applyBorder="1">
      <alignment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23" fillId="0" borderId="0" xfId="5" applyFont="1" applyAlignment="1">
      <alignment vertical="center" wrapText="1"/>
    </xf>
    <xf numFmtId="0" fontId="0" fillId="0" borderId="0" xfId="13" applyFont="1" applyAlignment="1">
      <alignment horizontal="center" vertical="center" wrapText="1"/>
    </xf>
    <xf numFmtId="0" fontId="0" fillId="0" borderId="1" xfId="13" applyFont="1" applyBorder="1" applyAlignment="1">
      <alignment horizontal="center" vertical="center" wrapText="1"/>
    </xf>
    <xf numFmtId="0" fontId="0" fillId="0" borderId="0" xfId="13" applyFont="1" applyBorder="1" applyAlignment="1">
      <alignment horizontal="center" vertical="center" wrapText="1"/>
    </xf>
    <xf numFmtId="0" fontId="0" fillId="0" borderId="15" xfId="0" applyBorder="1" applyAlignment="1">
      <alignment horizontal="center" wrapText="1"/>
    </xf>
    <xf numFmtId="14" fontId="0" fillId="0" borderId="0" xfId="0" applyNumberFormat="1">
      <alignment wrapText="1"/>
    </xf>
    <xf numFmtId="171" fontId="0" fillId="0" borderId="0" xfId="2" applyNumberFormat="1" applyFont="1" applyAlignment="1">
      <alignment horizontal="center" vertical="center"/>
    </xf>
    <xf numFmtId="171" fontId="1" fillId="2" borderId="1" xfId="0" applyNumberFormat="1" applyFont="1" applyFill="1" applyBorder="1" applyAlignment="1">
      <alignment horizontal="right" vertical="center"/>
    </xf>
    <xf numFmtId="0" fontId="0" fillId="0" borderId="0" xfId="0" pivotButton="1">
      <alignment wrapText="1"/>
    </xf>
    <xf numFmtId="0" fontId="0" fillId="35" borderId="0" xfId="10" applyFont="1" applyFill="1" applyAlignment="1">
      <alignment horizontal="center" vertical="center" wrapText="1"/>
    </xf>
    <xf numFmtId="0" fontId="0" fillId="0" borderId="0" xfId="0">
      <alignment wrapText="1"/>
    </xf>
    <xf numFmtId="0" fontId="10" fillId="0" borderId="0" xfId="8">
      <alignment horizontal="center"/>
    </xf>
    <xf numFmtId="0" fontId="26" fillId="0" borderId="0" xfId="3" applyFont="1">
      <alignment horizontal="right"/>
    </xf>
    <xf numFmtId="0" fontId="22" fillId="34" borderId="0" xfId="4" applyFont="1" applyFill="1" applyAlignment="1">
      <alignment horizontal="center" vertical="center"/>
    </xf>
    <xf numFmtId="0" fontId="23" fillId="0" borderId="0" xfId="5" applyFont="1" applyAlignment="1">
      <alignment horizontal="left" vertical="center" wrapText="1"/>
    </xf>
    <xf numFmtId="169" fontId="24" fillId="0" borderId="0" xfId="11" applyFont="1" applyAlignment="1">
      <alignment horizontal="left" vertical="top" wrapText="1"/>
    </xf>
    <xf numFmtId="169" fontId="24" fillId="0" borderId="0" xfId="11" applyFont="1">
      <alignment horizontal="left" vertical="top"/>
    </xf>
  </cellXfs>
  <cellStyles count="52">
    <cellStyle name="20% - Énfasis1" xfId="29" builtinId="30" customBuiltin="1"/>
    <cellStyle name="20% - Énfasis2" xfId="33" builtinId="34" customBuiltin="1"/>
    <cellStyle name="20% - Énfasis3" xfId="37" builtinId="38" customBuiltin="1"/>
    <cellStyle name="20% - Énfasis4" xfId="41" builtinId="42" customBuiltin="1"/>
    <cellStyle name="20% - Énfasis5" xfId="45" builtinId="46" customBuiltin="1"/>
    <cellStyle name="20% - Énfasis6" xfId="49" builtinId="50" customBuiltin="1"/>
    <cellStyle name="40% - Énfasis1" xfId="30" builtinId="31" customBuiltin="1"/>
    <cellStyle name="40% - Énfasis2" xfId="34" builtinId="35" customBuiltin="1"/>
    <cellStyle name="40% - Énfasis3" xfId="38" builtinId="39" customBuiltin="1"/>
    <cellStyle name="40% - Énfasis4" xfId="42" builtinId="43" customBuiltin="1"/>
    <cellStyle name="40% - Énfasis5" xfId="46" builtinId="47" customBuiltin="1"/>
    <cellStyle name="40% - Énfasis6" xfId="50" builtinId="51" customBuiltin="1"/>
    <cellStyle name="60% - Énfasis1" xfId="31" builtinId="32" customBuiltin="1"/>
    <cellStyle name="60% - Énfasis2" xfId="35" builtinId="36" customBuiltin="1"/>
    <cellStyle name="60% - Énfasis3" xfId="39" builtinId="40" customBuiltin="1"/>
    <cellStyle name="60% - Énfasis4" xfId="43" builtinId="44" customBuiltin="1"/>
    <cellStyle name="60% - Énfasis5" xfId="47" builtinId="48" customBuiltin="1"/>
    <cellStyle name="60% - Énfasis6" xfId="51" builtinId="52" customBuiltin="1"/>
    <cellStyle name="Alineado a la derecha" xfId="10" xr:uid="{00000000-0005-0000-0000-00000B000000}"/>
    <cellStyle name="Alineado arriba" xfId="12" xr:uid="{00000000-0005-0000-0000-00000D000000}"/>
    <cellStyle name="Bueno" xfId="19" builtinId="26" customBuiltin="1"/>
    <cellStyle name="Cálculo" xfId="23" builtinId="22" customBuiltin="1"/>
    <cellStyle name="Celda de comprobación" xfId="25" builtinId="23" customBuiltin="1"/>
    <cellStyle name="Celda vinculada" xfId="24" builtinId="24" customBuiltin="1"/>
    <cellStyle name="Descripción" xfId="13" xr:uid="{00000000-0005-0000-0000-000002000000}"/>
    <cellStyle name="Encabezado 1" xfId="4" builtinId="16" customBuiltin="1"/>
    <cellStyle name="Encabezado 4" xfId="7" builtinId="19" customBuiltin="1"/>
    <cellStyle name="Énfasis1" xfId="28" builtinId="29" customBuiltin="1"/>
    <cellStyle name="Énfasis2" xfId="32" builtinId="33" customBuiltin="1"/>
    <cellStyle name="Énfasis3" xfId="36" builtinId="37" customBuiltin="1"/>
    <cellStyle name="Énfasis4" xfId="40" builtinId="41" customBuiltin="1"/>
    <cellStyle name="Énfasis5" xfId="44" builtinId="45" customBuiltin="1"/>
    <cellStyle name="Énfasis6" xfId="48" builtinId="49" customBuiltin="1"/>
    <cellStyle name="Entrada" xfId="14" builtinId="20" customBuiltin="1"/>
    <cellStyle name="Fecha" xfId="1" xr:uid="{00000000-0005-0000-0000-000001000000}"/>
    <cellStyle name="Incorrecto" xfId="20" builtinId="27" customBuiltin="1"/>
    <cellStyle name="Millares" xfId="15" builtinId="3" customBuiltin="1"/>
    <cellStyle name="Millares [0]" xfId="16" builtinId="6" customBuiltin="1"/>
    <cellStyle name="Moneda" xfId="2" builtinId="4" customBuiltin="1"/>
    <cellStyle name="Moneda [0]" xfId="17" builtinId="7" customBuiltin="1"/>
    <cellStyle name="Neutral" xfId="21" builtinId="28" customBuiltin="1"/>
    <cellStyle name="Normal" xfId="0" builtinId="0" customBuiltin="1"/>
    <cellStyle name="Notas" xfId="27" builtinId="10" customBuiltin="1"/>
    <cellStyle name="Porcentaje" xfId="18" builtinId="5" customBuiltin="1"/>
    <cellStyle name="Salida" xfId="22" builtinId="21" customBuiltin="1"/>
    <cellStyle name="Teléfono" xfId="11" xr:uid="{00000000-0005-0000-0000-00000A000000}"/>
    <cellStyle name="Texto de advertencia" xfId="26" builtinId="11" customBuiltin="1"/>
    <cellStyle name="Texto explicativo" xfId="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9" builtinId="25" customBuiltin="1"/>
  </cellStyles>
  <dxfs count="4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/mm/yyyy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1" formatCode="_-[$S/-280A]\ * #,##0.00_-;\-[$S/-280A]\ * #,##0.00_-;_-[$S/-280A]\ * &quot;-&quot;??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S/-280A]\ * #,##0.00_-;\-[$S/-280A]\ * #,##0.00_-;_-[$S/-280A]\ * &quot;-&quot;??_-;_-@_-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71" formatCode="_-[$S/-280A]\ * #,##0.00_-;\-[$S/-280A]\ * #,##0.00_-;_-[$S/-280A]\ * &quot;-&quot;??_-;_-@_-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_-[$S/-280A]\ * #,##0.00_-;\-[$S/-280A]\ * #,##0.00_-;_-[$S/-280A]\ * &quot;-&quot;??_-;_-@_-"/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5" formatCode="_-* #,##0.00\ &quot;€&quot;_-;\-* #,##0.00\ &quot;€&quot;_-;_-* &quot;-&quot;??\ &quot;€&quot;_-;_-@_-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minor"/>
      </font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 diagonalUp="0" diagonalDown="0">
        <left/>
        <right/>
        <top style="thin">
          <color auto="1"/>
        </top>
        <bottom/>
        <vertical/>
        <horizontal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</dxfs>
  <tableStyles count="1" defaultPivotStyle="PivotStyleLight16">
    <tableStyle name="Factura que calcula el total" pivot="0" count="7" xr9:uid="{00000000-0011-0000-FFFF-FFFF00000000}">
      <tableStyleElement type="wholeTable" dxfId="42"/>
      <tableStyleElement type="headerRow" dxfId="41"/>
      <tableStyleElement type="totalRow" dxfId="40"/>
      <tableStyleElement type="lastColumn" dxfId="39"/>
      <tableStyleElement type="secondColumnStripe" dxfId="38"/>
      <tableStyleElement type="lastHeaderCell" dxfId="37"/>
      <tableStyleElement type="lastTotalCell" dxfId="3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981075</xdr:colOff>
      <xdr:row>5</xdr:row>
      <xdr:rowOff>352424</xdr:rowOff>
    </xdr:from>
    <xdr:to>
      <xdr:col>5</xdr:col>
      <xdr:colOff>0</xdr:colOff>
      <xdr:row>9</xdr:row>
      <xdr:rowOff>38099</xdr:rowOff>
    </xdr:to>
    <xdr:sp macro="[0]!GuardarFactura" textlink="">
      <xdr:nvSpPr>
        <xdr:cNvPr id="2" name="Rectángulo 1">
          <a:extLst>
            <a:ext uri="{FF2B5EF4-FFF2-40B4-BE49-F238E27FC236}">
              <a16:creationId xmlns:a16="http://schemas.microsoft.com/office/drawing/2014/main" id="{52075E31-2912-CAB6-78BA-D44BC6AF1181}"/>
            </a:ext>
          </a:extLst>
        </xdr:cNvPr>
        <xdr:cNvSpPr/>
      </xdr:nvSpPr>
      <xdr:spPr bwMode="auto">
        <a:xfrm>
          <a:off x="5086350" y="2362199"/>
          <a:ext cx="2057400" cy="638175"/>
        </a:xfrm>
        <a:prstGeom prst="rect">
          <a:avLst/>
        </a:pr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800" b="1">
              <a:solidFill>
                <a:schemeClr val="bg1"/>
              </a:solidFill>
              <a:latin typeface="Bodoni MT" panose="02070603080606020203" pitchFamily="18" charset="0"/>
            </a:rPr>
            <a:t>G</a:t>
          </a:r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 U A R D A R  e </a:t>
          </a:r>
        </a:p>
        <a:p>
          <a:pPr algn="ctr"/>
          <a:r>
            <a:rPr lang="es-PE" sz="1800" b="1" baseline="0">
              <a:solidFill>
                <a:schemeClr val="bg1"/>
              </a:solidFill>
              <a:latin typeface="Bodoni MT" panose="02070603080606020203" pitchFamily="18" charset="0"/>
            </a:rPr>
            <a:t>I M P R I M I R</a:t>
          </a:r>
          <a:endParaRPr lang="es-PE" sz="18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1</xdr:row>
      <xdr:rowOff>66674</xdr:rowOff>
    </xdr:from>
    <xdr:to>
      <xdr:col>5</xdr:col>
      <xdr:colOff>9525</xdr:colOff>
      <xdr:row>1</xdr:row>
      <xdr:rowOff>409575</xdr:rowOff>
    </xdr:to>
    <xdr:sp macro="[0]!ConsultarFactura" textlink="">
      <xdr:nvSpPr>
        <xdr:cNvPr id="2" name="Rectángulo 1">
          <a:extLst>
            <a:ext uri="{FF2B5EF4-FFF2-40B4-BE49-F238E27FC236}">
              <a16:creationId xmlns:a16="http://schemas.microsoft.com/office/drawing/2014/main" id="{B097065A-F430-4254-A722-B48169C8E1F8}"/>
            </a:ext>
          </a:extLst>
        </xdr:cNvPr>
        <xdr:cNvSpPr/>
      </xdr:nvSpPr>
      <xdr:spPr bwMode="auto">
        <a:xfrm>
          <a:off x="4343400" y="504824"/>
          <a:ext cx="2809875" cy="342901"/>
        </a:xfrm>
        <a:prstGeom prst="rect">
          <a:avLst/>
        </a:prstGeom>
        <a:solidFill>
          <a:srgbClr val="7030A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400" b="1">
              <a:solidFill>
                <a:schemeClr val="bg1"/>
              </a:solidFill>
              <a:latin typeface="Bodoni MT" panose="02070603080606020203" pitchFamily="18" charset="0"/>
            </a:rPr>
            <a:t>C</a:t>
          </a:r>
          <a:r>
            <a:rPr lang="es-PE" sz="1400" b="1" baseline="0">
              <a:solidFill>
                <a:schemeClr val="bg1"/>
              </a:solidFill>
              <a:latin typeface="Bodoni MT" panose="02070603080606020203" pitchFamily="18" charset="0"/>
            </a:rPr>
            <a:t> O N S U L T A R   F A C T U R A</a:t>
          </a:r>
          <a:endParaRPr lang="es-PE" sz="14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 fPrintsWithSheet="0"/>
  </xdr:twoCellAnchor>
  <xdr:twoCellAnchor>
    <xdr:from>
      <xdr:col>3</xdr:col>
      <xdr:colOff>209550</xdr:colOff>
      <xdr:row>6</xdr:row>
      <xdr:rowOff>152400</xdr:rowOff>
    </xdr:from>
    <xdr:to>
      <xdr:col>4</xdr:col>
      <xdr:colOff>1676400</xdr:colOff>
      <xdr:row>9</xdr:row>
      <xdr:rowOff>57150</xdr:rowOff>
    </xdr:to>
    <xdr:sp macro="[0]!EnviarEmail" textlink="">
      <xdr:nvSpPr>
        <xdr:cNvPr id="3" name="Rectángulo 2">
          <a:extLst>
            <a:ext uri="{FF2B5EF4-FFF2-40B4-BE49-F238E27FC236}">
              <a16:creationId xmlns:a16="http://schemas.microsoft.com/office/drawing/2014/main" id="{F5FD5A64-9B1C-47AD-9461-C09821E8FDA4}"/>
            </a:ext>
          </a:extLst>
        </xdr:cNvPr>
        <xdr:cNvSpPr/>
      </xdr:nvSpPr>
      <xdr:spPr bwMode="auto">
        <a:xfrm>
          <a:off x="4314825" y="2543175"/>
          <a:ext cx="2809875" cy="4762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PE" sz="1400" b="1">
              <a:solidFill>
                <a:schemeClr val="bg1"/>
              </a:solidFill>
              <a:latin typeface="Bodoni MT" panose="02070603080606020203" pitchFamily="18" charset="0"/>
            </a:rPr>
            <a:t>E N V I</a:t>
          </a:r>
          <a:r>
            <a:rPr lang="es-PE" sz="1400" b="1" baseline="0">
              <a:solidFill>
                <a:schemeClr val="bg1"/>
              </a:solidFill>
              <a:latin typeface="Bodoni MT" panose="02070603080606020203" pitchFamily="18" charset="0"/>
            </a:rPr>
            <a:t> </a:t>
          </a:r>
          <a:r>
            <a:rPr lang="es-PE" sz="1400" b="1">
              <a:solidFill>
                <a:schemeClr val="bg1"/>
              </a:solidFill>
              <a:latin typeface="Bodoni MT" panose="02070603080606020203" pitchFamily="18" charset="0"/>
            </a:rPr>
            <a:t>A R</a:t>
          </a:r>
          <a:r>
            <a:rPr lang="es-PE" sz="1400" b="1" baseline="0">
              <a:solidFill>
                <a:schemeClr val="bg1"/>
              </a:solidFill>
              <a:latin typeface="Bodoni MT" panose="02070603080606020203" pitchFamily="18" charset="0"/>
            </a:rPr>
            <a:t>   P D F   </a:t>
          </a:r>
        </a:p>
        <a:p>
          <a:pPr algn="ctr"/>
          <a:r>
            <a:rPr lang="es-PE" sz="1400" b="1" baseline="0">
              <a:solidFill>
                <a:schemeClr val="bg1"/>
              </a:solidFill>
              <a:latin typeface="Bodoni MT" panose="02070603080606020203" pitchFamily="18" charset="0"/>
            </a:rPr>
            <a:t>P O R   E M A I L</a:t>
          </a:r>
          <a:endParaRPr lang="es-PE" sz="1400" b="1">
            <a:solidFill>
              <a:schemeClr val="bg1"/>
            </a:solidFill>
            <a:latin typeface="Bodoni MT" panose="02070603080606020203" pitchFamily="18" charset="0"/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722.832518287039" createdVersion="8" refreshedVersion="8" minRefreshableVersion="3" recordCount="10" xr:uid="{0D8C03B1-271B-489F-AFC9-EC5B5886C91F}">
  <cacheSource type="worksheet">
    <worksheetSource name="tblDetalle"/>
  </cacheSource>
  <cacheFields count="8">
    <cacheField name="FECHA" numFmtId="14">
      <sharedItems containsSemiMixedTypes="0" containsNonDate="0" containsDate="1" containsString="0" minDate="2025-03-04T00:00:00" maxDate="2025-03-07T00:00:00"/>
    </cacheField>
    <cacheField name="CONSECUTIVO" numFmtId="0">
      <sharedItems containsSemiMixedTypes="0" containsString="0" containsNumber="1" containsInteger="1" minValue="1" maxValue="5" count="5">
        <n v="1"/>
        <n v="2"/>
        <n v="3"/>
        <n v="4"/>
        <n v="5"/>
      </sharedItems>
    </cacheField>
    <cacheField name="FACTURADO A" numFmtId="0">
      <sharedItems/>
    </cacheField>
    <cacheField name="CODIGO" numFmtId="0">
      <sharedItems containsSemiMixedTypes="0" containsString="0" containsNumber="1" containsInteger="1" minValue="1001" maxValue="1012" count="7">
        <n v="1003"/>
        <n v="1001"/>
        <n v="1004"/>
        <n v="1012"/>
        <n v="1010"/>
        <n v="1007"/>
        <n v="1011"/>
      </sharedItems>
    </cacheField>
    <cacheField name="DESCRIPCION" numFmtId="0">
      <sharedItems/>
    </cacheField>
    <cacheField name="CANTIDAD" numFmtId="0">
      <sharedItems containsSemiMixedTypes="0" containsString="0" containsNumber="1" containsInteger="1" minValue="1" maxValue="50" count="8">
        <n v="10"/>
        <n v="1"/>
        <n v="7"/>
        <n v="8"/>
        <n v="50"/>
        <n v="3"/>
        <n v="2"/>
        <n v="6"/>
      </sharedItems>
    </cacheField>
    <cacheField name="IMPORTE" numFmtId="0">
      <sharedItems containsSemiMixedTypes="0" containsString="0" containsNumber="1" containsInteger="1" minValue="263" maxValue="24350"/>
    </cacheField>
    <cacheField name="NOMBRE_ARCHIV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d v="2025-03-04T00:00:00"/>
    <x v="0"/>
    <s v="Cliente 1"/>
    <x v="0"/>
    <s v="Producto 3"/>
    <x v="0"/>
    <n v="4040"/>
    <s v="C:\Users\Sebastian\Desktop\Proyectos de verano\Facturas con excel\Facturas en PDF\Factura-1.pdf"/>
  </r>
  <r>
    <d v="2025-03-04T00:00:00"/>
    <x v="0"/>
    <s v="Cliente 1"/>
    <x v="1"/>
    <s v="Producto 1"/>
    <x v="1"/>
    <n v="263"/>
    <s v="C:\Users\Sebastian\Desktop\Proyectos de verano\Facturas con excel\Facturas en PDF\Factura-1.pdf"/>
  </r>
  <r>
    <d v="2025-03-04T00:00:00"/>
    <x v="1"/>
    <s v="Cliente 10"/>
    <x v="0"/>
    <s v="Producto 3"/>
    <x v="2"/>
    <n v="2828"/>
    <s v="C:\Users\Sebastian\Desktop\Proyectos de verano\Facturas con excel\Facturas en PDF\Factura-2.pdf"/>
  </r>
  <r>
    <d v="2025-03-04T00:00:00"/>
    <x v="1"/>
    <s v="Cliente 10"/>
    <x v="2"/>
    <s v="Producto 4"/>
    <x v="3"/>
    <n v="2560"/>
    <s v="C:\Users\Sebastian\Desktop\Proyectos de verano\Facturas con excel\Facturas en PDF\Factura-2.pdf"/>
  </r>
  <r>
    <d v="2025-03-05T00:00:00"/>
    <x v="2"/>
    <s v="Cliente 12"/>
    <x v="3"/>
    <s v="Producto 12"/>
    <x v="4"/>
    <n v="24350"/>
    <s v="C:\Users\Sebastian\Desktop\Proyectos de verano\Facturas con excel\Facturas en PDF\Factura-3.pdf"/>
  </r>
  <r>
    <d v="2025-03-05T00:00:00"/>
    <x v="3"/>
    <s v="Cliente 12"/>
    <x v="4"/>
    <s v="Producto 10"/>
    <x v="5"/>
    <n v="336"/>
    <s v="C:\Users\Sebastian\Desktop\Proyectos de verano\Facturas con excel\Facturas en PDF\Factura-4.pdf"/>
  </r>
  <r>
    <d v="2025-03-05T00:00:00"/>
    <x v="3"/>
    <s v="Cliente 12"/>
    <x v="0"/>
    <s v="Producto 3"/>
    <x v="6"/>
    <n v="808"/>
    <s v="C:\Users\Sebastian\Desktop\Proyectos de verano\Facturas con excel\Facturas en PDF\Factura-4pdf"/>
  </r>
  <r>
    <d v="2025-03-05T00:00:00"/>
    <x v="3"/>
    <s v="Cliente 12"/>
    <x v="5"/>
    <s v="Producto 7"/>
    <x v="2"/>
    <n v="2079"/>
    <s v="C:\Users\Sebastian\Desktop\Proyectos de verano\Facturas con excel\Facturas en PDF\Factura-4.pdf"/>
  </r>
  <r>
    <d v="2025-03-06T00:00:00"/>
    <x v="4"/>
    <s v="Cliente 9"/>
    <x v="5"/>
    <s v="Producto 7"/>
    <x v="5"/>
    <n v="891"/>
    <s v="C:\Users\Sebastian\Desktop\Proyectos de verano\Facturas con excel\Facturas en PDF\Factura-5.pdf"/>
  </r>
  <r>
    <d v="2025-03-06T00:00:00"/>
    <x v="4"/>
    <s v="Cliente 9"/>
    <x v="6"/>
    <s v="Producto 11"/>
    <x v="7"/>
    <n v="1050"/>
    <s v="C:\Users\Sebastian\Desktop\Proyectos de verano\Facturas con excel\Facturas en PDF\Factura-5.pdf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4776E5-3536-409C-8E5E-E818390139B7}" name="tdDetalle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3:C5" firstHeaderRow="1" firstDataRow="1" firstDataCol="3"/>
  <pivotFields count="8"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0"/>
        <item h="1"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7">
        <item x="1"/>
        <item x="0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">
        <item x="1"/>
        <item x="2"/>
        <item x="3"/>
        <item x="0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5"/>
  </rowFields>
  <rowItems count="2">
    <i>
      <x/>
      <x/>
      <x/>
    </i>
    <i r="1">
      <x v="1"/>
      <x v="3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Factura" displayName="Factura" ref="B12:E24" totalsRowCount="1" headerRowDxfId="35" dataDxfId="34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CÓDIGO" dataDxfId="33" dataCellStyle="Descripción"/>
    <tableColumn id="2" xr3:uid="{00000000-0010-0000-0000-000002000000}" name="DESCRIPCIÓN" dataDxfId="32" dataCellStyle="Descripción">
      <calculatedColumnFormula>IFERROR(VLOOKUP(Factura[[#This Row],[CÓDIGO]],tblProductos[],2,), "")</calculatedColumnFormula>
    </tableColumn>
    <tableColumn id="4" xr3:uid="{0D33FDF2-4BA2-40D2-B945-3B30679527F6}" name="CANTIDAD" totalsRowLabel=" TOTAL " dataDxfId="31" totalsRowDxfId="30" dataCellStyle="Descripción"/>
    <tableColumn id="3" xr3:uid="{00000000-0010-0000-0000-000003000000}" name="IMPORTE" totalsRowFunction="sum" dataDxfId="29" totalsRowDxfId="28" dataCellStyle="Moneda">
      <calculatedColumnFormula>IFERROR(Factura[[#This Row],[CANTIDAD]]*VLOOKUP(Factura[[#This Row],[CÓDIGO]], tblProductos[], 3, ),"")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2F825B-83DD-4DF1-A6AC-954D1D35A0AA}" name="Factura6" displayName="Factura6" ref="B12:E24" totalsRowCount="1" headerRowDxfId="27" dataDxfId="26">
  <autoFilter ref="B12:E23" xr:uid="{00000000-0009-0000-0100-000001000000}">
    <filterColumn colId="0" hiddenButton="1"/>
    <filterColumn colId="1" hiddenButton="1"/>
    <filterColumn colId="2" hiddenButton="1"/>
    <filterColumn colId="3" hiddenButton="1"/>
  </autoFilter>
  <tableColumns count="4">
    <tableColumn id="1" xr3:uid="{6B063F89-7D72-4BA3-9E6B-EB76789EFDA3}" name="CÓDIGO" dataDxfId="25" dataCellStyle="Descripción">
      <calculatedColumnFormula>IF('Consulta Factura'!$E$4='TD-Consulta-Factura'!A4,'TD-Consulta-Factura'!B4,"")</calculatedColumnFormula>
    </tableColumn>
    <tableColumn id="2" xr3:uid="{509DF343-8396-4F5B-A6F8-562B194BE2EB}" name="DESCRIPCIÓN" dataDxfId="24" dataCellStyle="Descripción">
      <calculatedColumnFormula>IFERROR(VLOOKUP(Factura6[[#This Row],[CÓDIGO]],tblProductos[],2,), "")</calculatedColumnFormula>
    </tableColumn>
    <tableColumn id="4" xr3:uid="{0A2FE64A-47E7-4D57-9B9A-40B185BE219D}" name="CANTIDAD" totalsRowLabel=" TOTAL " dataDxfId="23" totalsRowDxfId="22" dataCellStyle="Descripción">
      <calculatedColumnFormula>IF('Consulta Factura'!$E$4='TD-Consulta-Factura'!A4, 'TD-Consulta-Factura'!C4,"")</calculatedColumnFormula>
    </tableColumn>
    <tableColumn id="3" xr3:uid="{71905E0C-45D9-442D-8994-A87C4A89B23C}" name="IMPORTE" totalsRowFunction="sum" dataDxfId="21" totalsRowDxfId="20" dataCellStyle="Moneda">
      <calculatedColumnFormula>IFERROR(Factura6[[#This Row],[CANTIDAD]]*VLOOKUP(Factura6[[#This Row],[CÓDIGO]], tblProductos[], 3, ),"")</calculatedColumnFormula>
    </tableColumn>
  </tableColumns>
  <tableStyleInfo name="Factura que calcula el total" showFirstColumn="0" showLastColumn="1" showRowStripes="1" showColumnStripes="0"/>
  <extLst>
    <ext xmlns:x14="http://schemas.microsoft.com/office/spreadsheetml/2009/9/main" uri="{504A1905-F514-4f6f-8877-14C23A59335A}">
      <x14:table altTextSummary="Escriba las descripciones y las cantidades de factura en esta tabla. El total adeudado se calcula automáticamente al final de la tabla.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173563-2D48-48CE-B024-FF6B7DB994EF}" name="tblDetalle" displayName="tblDetalle" ref="A1:H11" totalsRowShown="0" headerRowDxfId="19" headerRowBorderDxfId="18" tableBorderDxfId="17">
  <autoFilter ref="A1:H11" xr:uid="{50173563-2D48-48CE-B024-FF6B7DB994EF}"/>
  <tableColumns count="8">
    <tableColumn id="1" xr3:uid="{BA39C4EA-6A21-4CE5-BBCA-F3B801029DC8}" name="FECHA" dataDxfId="16"/>
    <tableColumn id="2" xr3:uid="{6242A955-DA82-46A6-AEC9-016E57FA0543}" name="CONSECUTIVO"/>
    <tableColumn id="3" xr3:uid="{F95F131A-2983-471A-8E31-113D4D103067}" name="FACTURADO A"/>
    <tableColumn id="4" xr3:uid="{F87D7395-F5FF-4851-9BD1-C08D490AD1F0}" name="CODIGO"/>
    <tableColumn id="5" xr3:uid="{CCE101A4-8E9C-4289-9601-63956B435361}" name="DESCRIPCION"/>
    <tableColumn id="6" xr3:uid="{17BE0BDC-A501-4E9D-AB16-5C40E758925B}" name="CANTIDAD"/>
    <tableColumn id="7" xr3:uid="{7D468C46-BF37-4FBB-9901-DC62B293ADF0}" name="IMPORTE"/>
    <tableColumn id="8" xr3:uid="{9C7690E0-E349-4310-AFCA-E90CCB1EC439}" name="NOMBRE_ARCHIVO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A37DF5-B82A-4B72-AA51-D7B5873ED477}" name="tblClientes" displayName="tblClientes" ref="A1:E15" totalsRowShown="0" headerRowDxfId="15" headerRowBorderDxfId="14" tableBorderDxfId="13" totalsRowBorderDxfId="12">
  <autoFilter ref="A1:E15" xr:uid="{03A37DF5-B82A-4B72-AA51-D7B5873ED477}"/>
  <tableColumns count="5">
    <tableColumn id="1" xr3:uid="{6174EC7A-0FCA-489F-B3AE-4EC7B76F2547}" name="NOMBRE" dataDxfId="11"/>
    <tableColumn id="2" xr3:uid="{DE676BB1-098F-40F2-9DBD-C33FF41C9A8A}" name="NOMBRE DE LA EMPRESA" dataDxfId="10"/>
    <tableColumn id="3" xr3:uid="{D8AEC6D1-F974-4B2D-A5DF-E2E2DFFAC40E}" name="DIRECCION" dataDxfId="9"/>
    <tableColumn id="4" xr3:uid="{72AECE3D-DDC3-420D-996F-43B899A95BD1}" name="CIUDAD, ESTADO, CP" dataDxfId="8"/>
    <tableColumn id="5" xr3:uid="{ACBD6E94-2082-4BFD-BB62-7C95E40871BB}" name="TELEFONO" dataDxfId="7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4A6FBE-576D-464F-966E-A102EBF05A90}" name="tblProductos" displayName="tblProductos" ref="A1:C14" totalsRowShown="0" headerRowDxfId="6" headerRowBorderDxfId="5" tableBorderDxfId="4" totalsRowBorderDxfId="3">
  <autoFilter ref="A1:C14" xr:uid="{714A6FBE-576D-464F-966E-A102EBF05A90}"/>
  <tableColumns count="3">
    <tableColumn id="1" xr3:uid="{200C2602-2494-4A03-B455-12F4CE877860}" name="CODIGO" dataDxfId="2"/>
    <tableColumn id="2" xr3:uid="{84E7AA73-4108-474A-B05D-33700A089366}" name="DESCRIPCION" dataDxfId="1"/>
    <tableColumn id="3" xr3:uid="{5CC43374-95DD-4BFB-AD80-41709AF17EA0}" name="P.UNITAR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0" tint="-0.249977111117893"/>
    <pageSetUpPr fitToPage="1"/>
  </sheetPr>
  <dimension ref="B1:E28"/>
  <sheetViews>
    <sheetView showGridLines="0" zoomScaleNormal="100" workbookViewId="0">
      <selection activeCell="E4" sqref="E4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40" t="s">
        <v>13</v>
      </c>
      <c r="C1" s="40"/>
      <c r="D1" s="39" t="s">
        <v>16</v>
      </c>
      <c r="E1" s="39"/>
    </row>
    <row r="2" spans="2:5" ht="46.5" customHeight="1" x14ac:dyDescent="0.2">
      <c r="B2" s="41" t="s">
        <v>14</v>
      </c>
      <c r="C2" s="41"/>
    </row>
    <row r="3" spans="2:5" ht="15" x14ac:dyDescent="0.25">
      <c r="B3" s="27"/>
      <c r="D3" s="6" t="s">
        <v>4</v>
      </c>
      <c r="E3" s="9">
        <f ca="1">TODAY()</f>
        <v>45722</v>
      </c>
    </row>
    <row r="4" spans="2:5" ht="32.25" customHeight="1" x14ac:dyDescent="0.2">
      <c r="B4" s="42" t="s">
        <v>11</v>
      </c>
      <c r="C4" s="43"/>
      <c r="D4" s="12" t="s">
        <v>12</v>
      </c>
      <c r="E4" s="13">
        <f ca="1">IF('Detalle de facturas'!I1="CONSECUTIVO",1,'Detalle de facturas'!I1+1)</f>
        <v>6</v>
      </c>
    </row>
    <row r="5" spans="2:5" ht="30" customHeight="1" x14ac:dyDescent="0.2">
      <c r="B5" s="14" t="s">
        <v>15</v>
      </c>
      <c r="D5" s="5" t="s">
        <v>5</v>
      </c>
      <c r="E5" s="7" t="s">
        <v>6</v>
      </c>
    </row>
    <row r="6" spans="2:5" ht="30" customHeight="1" x14ac:dyDescent="0.25">
      <c r="B6" s="2" t="s">
        <v>0</v>
      </c>
    </row>
    <row r="7" spans="2:5" ht="15" customHeight="1" x14ac:dyDescent="0.2"/>
    <row r="8" spans="2:5" ht="15" customHeight="1" x14ac:dyDescent="0.2">
      <c r="B8" t="str">
        <f>IFERROR(VLOOKUP(B7, tblClientes[], 2, ), "-")</f>
        <v>-</v>
      </c>
    </row>
    <row r="9" spans="2:5" ht="15" customHeight="1" x14ac:dyDescent="0.2">
      <c r="B9" t="str">
        <f>IFERROR(VLOOKUP(B7, tblClientes[], 3, ), "-")</f>
        <v>-</v>
      </c>
    </row>
    <row r="10" spans="2:5" ht="15" customHeight="1" x14ac:dyDescent="0.2">
      <c r="B10" t="str">
        <f>IFERROR(VLOOKUP(B7, tblClientes[], 4, ), "-")</f>
        <v>-</v>
      </c>
    </row>
    <row r="11" spans="2:5" ht="30" customHeight="1" x14ac:dyDescent="0.2">
      <c r="B11" s="3" t="str">
        <f>IFERROR(VLOOKUP(B7, tblClientes[], 5, ), "-")</f>
        <v>-</v>
      </c>
    </row>
    <row r="12" spans="2:5" ht="30" customHeight="1" x14ac:dyDescent="0.2">
      <c r="B12" s="1" t="s">
        <v>9</v>
      </c>
      <c r="C12" s="11" t="s">
        <v>1</v>
      </c>
      <c r="D12" s="1" t="s">
        <v>10</v>
      </c>
      <c r="E12" s="1" t="s">
        <v>7</v>
      </c>
    </row>
    <row r="13" spans="2:5" ht="30" customHeight="1" x14ac:dyDescent="0.2">
      <c r="B13" s="28"/>
      <c r="C13" s="29" t="str">
        <f>IFERROR(VLOOKUP(Factura[[#This Row],[CÓDIGO]],tblProductos[],2,), "")</f>
        <v/>
      </c>
      <c r="D13" s="30"/>
      <c r="E13" s="33" t="str">
        <f>IFERROR(Factura[[#This Row],[CANTIDAD]]*VLOOKUP(Factura[[#This Row],[CÓDIGO]], tblProductos[], 3, ),"")</f>
        <v/>
      </c>
    </row>
    <row r="14" spans="2:5" ht="30" customHeight="1" x14ac:dyDescent="0.2">
      <c r="B14" s="28"/>
      <c r="C14" s="29" t="str">
        <f>IFERROR(VLOOKUP(Factura[[#This Row],[CÓDIGO]],tblProductos[],2,), "")</f>
        <v/>
      </c>
      <c r="D14" s="30"/>
      <c r="E14" s="33" t="str">
        <f>IFERROR(Factura[[#This Row],[CANTIDAD]]*VLOOKUP(Factura[[#This Row],[CÓDIGO]], tblProductos[], 3, ),"")</f>
        <v/>
      </c>
    </row>
    <row r="15" spans="2:5" ht="30" customHeight="1" x14ac:dyDescent="0.2">
      <c r="B15" s="28"/>
      <c r="C15" s="29" t="str">
        <f>IFERROR(VLOOKUP(Factura[[#This Row],[CÓDIGO]],tblProductos[],2,), "")</f>
        <v/>
      </c>
      <c r="D15" s="30"/>
      <c r="E15" s="33" t="str">
        <f>IFERROR(Factura[[#This Row],[CANTIDAD]]*VLOOKUP(Factura[[#This Row],[CÓDIGO]], tblProductos[], 3, ),"")</f>
        <v/>
      </c>
    </row>
    <row r="16" spans="2:5" ht="30" customHeight="1" x14ac:dyDescent="0.2">
      <c r="B16" s="28"/>
      <c r="C16" s="29" t="str">
        <f>IFERROR(VLOOKUP(Factura[[#This Row],[CÓDIGO]],tblProductos[],2,), "")</f>
        <v/>
      </c>
      <c r="D16" s="30"/>
      <c r="E16" s="33" t="str">
        <f>IFERROR(Factura[[#This Row],[CANTIDAD]]*VLOOKUP(Factura[[#This Row],[CÓDIGO]], tblProductos[], 3, ),"")</f>
        <v/>
      </c>
    </row>
    <row r="17" spans="2:5" ht="30" customHeight="1" x14ac:dyDescent="0.2">
      <c r="B17" s="28"/>
      <c r="C17" s="29" t="str">
        <f>IFERROR(VLOOKUP(Factura[[#This Row],[CÓDIGO]],tblProductos[],2,), "")</f>
        <v/>
      </c>
      <c r="D17" s="30"/>
      <c r="E17" s="33" t="str">
        <f>IFERROR(Factura[[#This Row],[CANTIDAD]]*VLOOKUP(Factura[[#This Row],[CÓDIGO]], tblProductos[], 3, ),"")</f>
        <v/>
      </c>
    </row>
    <row r="18" spans="2:5" ht="30" customHeight="1" x14ac:dyDescent="0.2">
      <c r="B18" s="28"/>
      <c r="C18" s="29" t="str">
        <f>IFERROR(VLOOKUP(Factura[[#This Row],[CÓDIGO]],tblProductos[],2,), "")</f>
        <v/>
      </c>
      <c r="D18" s="30"/>
      <c r="E18" s="33" t="str">
        <f>IFERROR(Factura[[#This Row],[CANTIDAD]]*VLOOKUP(Factura[[#This Row],[CÓDIGO]], tblProductos[], 3, ),"")</f>
        <v/>
      </c>
    </row>
    <row r="19" spans="2:5" ht="30" customHeight="1" x14ac:dyDescent="0.2">
      <c r="B19" s="28"/>
      <c r="C19" s="29" t="str">
        <f>IFERROR(VLOOKUP(Factura[[#This Row],[CÓDIGO]],tblProductos[],2,), "")</f>
        <v/>
      </c>
      <c r="D19" s="30"/>
      <c r="E19" s="33" t="str">
        <f>IFERROR(Factura[[#This Row],[CANTIDAD]]*VLOOKUP(Factura[[#This Row],[CÓDIGO]], tblProductos[], 3, ),"")</f>
        <v/>
      </c>
    </row>
    <row r="20" spans="2:5" ht="30" customHeight="1" x14ac:dyDescent="0.2">
      <c r="B20" s="28"/>
      <c r="C20" s="29" t="str">
        <f>IFERROR(VLOOKUP(Factura[[#This Row],[CÓDIGO]],tblProductos[],2,), "")</f>
        <v/>
      </c>
      <c r="D20" s="30"/>
      <c r="E20" s="33" t="str">
        <f>IFERROR(Factura[[#This Row],[CANTIDAD]]*VLOOKUP(Factura[[#This Row],[CÓDIGO]], tblProductos[], 3, ),"")</f>
        <v/>
      </c>
    </row>
    <row r="21" spans="2:5" ht="30" customHeight="1" x14ac:dyDescent="0.2">
      <c r="B21" s="28"/>
      <c r="C21" s="29" t="str">
        <f>IFERROR(VLOOKUP(Factura[[#This Row],[CÓDIGO]],tblProductos[],2,), "")</f>
        <v/>
      </c>
      <c r="D21" s="30"/>
      <c r="E21" s="33" t="str">
        <f>IFERROR(Factura[[#This Row],[CANTIDAD]]*VLOOKUP(Factura[[#This Row],[CÓDIGO]], tblProductos[], 3, ),"")</f>
        <v/>
      </c>
    </row>
    <row r="22" spans="2:5" ht="30" customHeight="1" x14ac:dyDescent="0.2">
      <c r="B22" s="28"/>
      <c r="C22" s="29" t="str">
        <f>IFERROR(VLOOKUP(Factura[[#This Row],[CÓDIGO]],tblProductos[],2,), "")</f>
        <v/>
      </c>
      <c r="D22" s="30"/>
      <c r="E22" s="33" t="str">
        <f>IFERROR(Factura[[#This Row],[CANTIDAD]]*VLOOKUP(Factura[[#This Row],[CÓDIGO]], tblProductos[], 3, ),"")</f>
        <v/>
      </c>
    </row>
    <row r="23" spans="2:5" ht="30" customHeight="1" x14ac:dyDescent="0.2">
      <c r="B23" s="28"/>
      <c r="C23" s="29" t="str">
        <f>IFERROR(VLOOKUP(Factura[[#This Row],[CÓDIGO]],tblProductos[],2,), "")</f>
        <v/>
      </c>
      <c r="D23" s="30"/>
      <c r="E23" s="33" t="str">
        <f>IFERROR(Factura[[#This Row],[CANTIDAD]]*VLOOKUP(Factura[[#This Row],[CÓDIGO]], tblProductos[], 3, ),"")</f>
        <v/>
      </c>
    </row>
    <row r="24" spans="2:5" ht="30" customHeight="1" x14ac:dyDescent="0.2">
      <c r="D24" s="10" t="s">
        <v>8</v>
      </c>
      <c r="E24" s="34">
        <f>SUBTOTAL(109,Factura[IMPORTE])</f>
        <v>0</v>
      </c>
    </row>
    <row r="25" spans="2:5" ht="5.45" customHeight="1" x14ac:dyDescent="0.2">
      <c r="C25" s="4"/>
      <c r="D25" s="4"/>
      <c r="E25" s="8"/>
    </row>
    <row r="26" spans="2:5" ht="30" customHeight="1" x14ac:dyDescent="0.2">
      <c r="B26" s="37" t="str">
        <f>"Todos los cheques se extenderán a nombre de "&amp;Nombre_empresa&amp;""</f>
        <v>Todos los cheques se extenderán a nombre de R I P L E Y</v>
      </c>
      <c r="C26" s="37"/>
      <c r="D26" s="37"/>
      <c r="E26" s="37"/>
    </row>
    <row r="27" spans="2:5" ht="30" customHeight="1" x14ac:dyDescent="0.2">
      <c r="B27" s="37" t="s">
        <v>2</v>
      </c>
      <c r="C27" s="37"/>
      <c r="D27" s="37"/>
      <c r="E27" s="37"/>
    </row>
    <row r="28" spans="2:5" ht="30" customHeight="1" x14ac:dyDescent="0.25">
      <c r="B28" s="38" t="s">
        <v>3</v>
      </c>
      <c r="C28" s="38"/>
      <c r="D28" s="38"/>
      <c r="E28" s="38"/>
    </row>
  </sheetData>
  <mergeCells count="7">
    <mergeCell ref="B27:E27"/>
    <mergeCell ref="B28:E28"/>
    <mergeCell ref="B26:E26"/>
    <mergeCell ref="D1:E1"/>
    <mergeCell ref="B1:C1"/>
    <mergeCell ref="B2:C2"/>
    <mergeCell ref="B4:C4"/>
  </mergeCells>
  <phoneticPr fontId="0" type="noConversion"/>
  <dataValidations count="24">
    <dataValidation allowBlank="1" showInputMessage="1" showErrorMessage="1" prompt="El nombre de la empresa se anexa automáticamente en esta celda" sqref="B26" xr:uid="{00000000-0002-0000-0000-000000000000}"/>
    <dataValidation allowBlank="1" showInputMessage="1" showErrorMessage="1" prompt="Escriba en esta celda el nombre de contacto, número de teléfono y correo electrónico de la empresa que factura." sqref="B27:E27" xr:uid="{00000000-0002-0000-0000-000001000000}"/>
    <dataValidation allowBlank="1" showInputMessage="1" showErrorMessage="1" prompt="Escriba el importe en la columna con este encabezado para cada descripción de la columna B. La última celda de la tabla contiene el importe adeudado." sqref="E12" xr:uid="{00000000-0002-0000-0000-000002000000}"/>
    <dataValidation allowBlank="1" showInputMessage="1" showErrorMessage="1" prompt="Escriba el campo personalizado en este encabezado y los datos correspondientes en la columna con este encabezado." sqref="C12:D12" xr:uid="{00000000-0002-0000-0000-000003000000}"/>
    <dataValidation allowBlank="1" showInputMessage="1" showErrorMessage="1" prompt="Escriba la descripción de la factura en la columna con este encabezado." sqref="B12" xr:uid="{00000000-0002-0000-0000-000004000000}"/>
    <dataValidation type="list" allowBlank="1" showInputMessage="1" showErrorMessage="1" prompt="Escriba el nombre del cliente en esta celda." sqref="B7" xr:uid="{00000000-0002-0000-0000-000005000000}">
      <formula1>INDIRECT("tblClientes[Nombre]")</formula1>
    </dataValidation>
    <dataValidation allowBlank="1" showInputMessage="1" showErrorMessage="1" prompt="Escriba el nombre de la empresa en esta celda." sqref="B8" xr:uid="{00000000-0002-0000-0000-000006000000}"/>
    <dataValidation allowBlank="1" showInputMessage="1" showErrorMessage="1" prompt="Escriba la dirección del cliente en esta celda." sqref="B9" xr:uid="{00000000-0002-0000-0000-000007000000}"/>
    <dataValidation allowBlank="1" showInputMessage="1" showErrorMessage="1" prompt="Escriba la ciudad, el estado y el código postal del cliente en esta celda." sqref="B10" xr:uid="{00000000-0002-0000-0000-000008000000}"/>
    <dataValidation allowBlank="1" showInputMessage="1" showErrorMessage="1" prompt="Escriba el número de teléfono del cliente en esta celda." sqref="B11" xr:uid="{00000000-0002-0000-0000-000009000000}"/>
    <dataValidation allowBlank="1" showInputMessage="1" showErrorMessage="1" prompt="Escriba el nombre del cliente, el nombre de la empresa, la dirección y el número de teléfono en las celdas siguientes." sqref="B6" xr:uid="{00000000-0002-0000-0000-00000A000000}"/>
    <dataValidation allowBlank="1" showInputMessage="1" showErrorMessage="1" prompt="Escriba en esta celda los números de teléfono y fax entre corchetes." sqref="B5" xr:uid="{00000000-0002-0000-0000-00000B000000}"/>
    <dataValidation allowBlank="1" showInputMessage="1" showErrorMessage="1" prompt="Escriba la ciudad, el estado o la provincia y el código postal en esta celda." sqref="B4" xr:uid="{00000000-0002-0000-0000-00000C000000}"/>
    <dataValidation allowBlank="1" showInputMessage="1" showErrorMessage="1" prompt="Escriba el lema de la empresa en esta celda y la dirección de la empresa en las celdas siguientes." sqref="B2" xr:uid="{00000000-0002-0000-0000-00000E000000}"/>
    <dataValidation allowBlank="1" showInputMessage="1" showErrorMessage="1" prompt="Escriba la descripción del producto de la factura en esta celda." sqref="E5" xr:uid="{00000000-0002-0000-0000-00000F000000}"/>
    <dataValidation allowBlank="1" showInputMessage="1" showErrorMessage="1" prompt="Escriba el número de factura en esta celda." sqref="E4" xr:uid="{00000000-0002-0000-0000-000012000000}"/>
    <dataValidation allowBlank="1" showInputMessage="1" showErrorMessage="1" prompt="Escriba la fecha de la factura en esta celda." sqref="E3" xr:uid="{00000000-0002-0000-0000-000014000000}"/>
    <dataValidation allowBlank="1" showInputMessage="1" showErrorMessage="1" prompt="Escriba el nombre de la empresa que factura en esta celda y el lema en la celda siguiente" sqref="B1" xr:uid="{00000000-0002-0000-0000-000015000000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00000000-0002-0000-0000-000016000000}"/>
    <dataValidation allowBlank="1" showInputMessage="1" showErrorMessage="1" prompt="El título de esta hoja de cálculo se muestra en esta celda. Escriba los detalles de la factura de la celda C3 a la D5." sqref="D1" xr:uid="{00000000-0002-0000-0000-000017000000}"/>
    <dataValidation allowBlank="1" showInputMessage="1" showErrorMessage="1" prompt="Escriba la descripción del producto de la factura en la celda de la derecha." sqref="D5" xr:uid="{00000000-0002-0000-0000-000010000000}"/>
    <dataValidation allowBlank="1" showInputMessage="1" showErrorMessage="1" prompt="Escriba el número de factura en la celda de la derecha." sqref="D4" xr:uid="{00000000-0002-0000-0000-000011000000}"/>
    <dataValidation allowBlank="1" showInputMessage="1" showErrorMessage="1" prompt="Escriba la fecha de la factura en la celda de la derecha." sqref="D3" xr:uid="{00000000-0002-0000-0000-000013000000}"/>
    <dataValidation type="list" allowBlank="1" showInputMessage="1" showErrorMessage="1" sqref="B13:B23" xr:uid="{D0A6C320-BCAD-4F88-9642-BF0C1AD86986}">
      <formula1>INDIRECT("tblProductos[CODIGO]")</formula1>
    </dataValidation>
  </dataValidations>
  <printOptions horizontalCentered="1"/>
  <pageMargins left="0.5" right="0.5" top="0.5" bottom="0.5" header="0.5" footer="0.5"/>
  <pageSetup paperSize="9" scale="91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B73C3-58C9-4E31-9DB8-4C8E59057921}">
  <sheetPr codeName="Hoja6"/>
  <dimension ref="A3:C5"/>
  <sheetViews>
    <sheetView workbookViewId="0">
      <selection activeCell="J24" sqref="J24"/>
    </sheetView>
  </sheetViews>
  <sheetFormatPr baseColWidth="10" defaultRowHeight="14.25" x14ac:dyDescent="0.2"/>
  <cols>
    <col min="1" max="1" width="11.25" bestFit="1" customWidth="1"/>
    <col min="2" max="2" width="10.625" bestFit="1" customWidth="1"/>
    <col min="3" max="3" width="12.375" bestFit="1" customWidth="1"/>
  </cols>
  <sheetData>
    <row r="3" spans="1:3" ht="30" x14ac:dyDescent="0.25">
      <c r="A3" s="35" t="s">
        <v>109</v>
      </c>
      <c r="B3" s="35" t="s">
        <v>92</v>
      </c>
      <c r="C3" s="35" t="s">
        <v>10</v>
      </c>
    </row>
    <row r="4" spans="1:3" ht="15" x14ac:dyDescent="0.25">
      <c r="A4">
        <v>1</v>
      </c>
      <c r="B4">
        <v>1001</v>
      </c>
      <c r="C4">
        <v>1</v>
      </c>
    </row>
    <row r="5" spans="1:3" ht="15" x14ac:dyDescent="0.25">
      <c r="A5">
        <v>1</v>
      </c>
      <c r="B5">
        <v>1003</v>
      </c>
      <c r="C5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A791-F0C9-4FB9-ACB1-4A92B8A75387}">
  <sheetPr codeName="Hoja5">
    <tabColor theme="0" tint="-0.249977111117893"/>
    <pageSetUpPr fitToPage="1"/>
  </sheetPr>
  <dimension ref="B1:E28"/>
  <sheetViews>
    <sheetView showGridLines="0" tabSelected="1" zoomScaleNormal="100" workbookViewId="0">
      <selection activeCell="J10" sqref="J10"/>
    </sheetView>
  </sheetViews>
  <sheetFormatPr baseColWidth="10" defaultColWidth="9" defaultRowHeight="30" customHeight="1" x14ac:dyDescent="0.2"/>
  <cols>
    <col min="1" max="1" width="2.625" customWidth="1"/>
    <col min="2" max="2" width="16.875" customWidth="1"/>
    <col min="3" max="3" width="34.375" customWidth="1"/>
    <col min="4" max="4" width="17.625" customWidth="1"/>
    <col min="5" max="5" width="22.25" customWidth="1"/>
    <col min="6" max="6" width="2.625" customWidth="1"/>
  </cols>
  <sheetData>
    <row r="1" spans="2:5" ht="34.5" customHeight="1" x14ac:dyDescent="0.55000000000000004">
      <c r="B1" s="40" t="s">
        <v>13</v>
      </c>
      <c r="C1" s="40"/>
      <c r="D1" s="39" t="s">
        <v>16</v>
      </c>
      <c r="E1" s="39"/>
    </row>
    <row r="2" spans="2:5" ht="46.5" customHeight="1" x14ac:dyDescent="0.2">
      <c r="B2" s="41" t="s">
        <v>14</v>
      </c>
      <c r="C2" s="41"/>
    </row>
    <row r="3" spans="2:5" ht="15" x14ac:dyDescent="0.25">
      <c r="B3" s="27"/>
      <c r="D3" s="6" t="s">
        <v>4</v>
      </c>
      <c r="E3" s="9">
        <f ca="1">TODAY()</f>
        <v>45722</v>
      </c>
    </row>
    <row r="4" spans="2:5" ht="32.25" customHeight="1" x14ac:dyDescent="0.2">
      <c r="B4" s="42" t="s">
        <v>11</v>
      </c>
      <c r="C4" s="43"/>
      <c r="D4" s="12" t="s">
        <v>12</v>
      </c>
      <c r="E4" s="36">
        <v>1</v>
      </c>
    </row>
    <row r="5" spans="2:5" ht="30" customHeight="1" x14ac:dyDescent="0.2">
      <c r="B5" s="14" t="s">
        <v>15</v>
      </c>
      <c r="D5" s="5" t="s">
        <v>5</v>
      </c>
      <c r="E5" s="7" t="s">
        <v>6</v>
      </c>
    </row>
    <row r="6" spans="2:5" ht="30" customHeight="1" x14ac:dyDescent="0.25">
      <c r="B6" s="2" t="s">
        <v>0</v>
      </c>
      <c r="E6" t="str">
        <f>VLOOKUP(E4, tblDetalle[[#All],[CONSECUTIVO]:[NOMBRE_ARCHIVO]],7,0)</f>
        <v>C:\Users\Sebastian\Desktop\Proyectos de verano\Facturas con excel\Facturas en PDF\Factura-1.pdf</v>
      </c>
    </row>
    <row r="7" spans="2:5" ht="15" customHeight="1" x14ac:dyDescent="0.2">
      <c r="B7" t="str">
        <f>VLOOKUP(E4,tblDetalle[[CONSECUTIVO]:[IMPORTE]],2,TRUE)</f>
        <v>Cliente 1</v>
      </c>
    </row>
    <row r="8" spans="2:5" ht="15" customHeight="1" x14ac:dyDescent="0.2">
      <c r="B8" t="str">
        <f>IFERROR(VLOOKUP(B7, tblClientes[], 2, ), "-")</f>
        <v>Empresa 1</v>
      </c>
    </row>
    <row r="9" spans="2:5" ht="15" customHeight="1" x14ac:dyDescent="0.2">
      <c r="B9" t="str">
        <f>IFERROR(VLOOKUP(B7, tblClientes[], 3, ), "-")</f>
        <v>Dirección 1</v>
      </c>
    </row>
    <row r="10" spans="2:5" ht="15" customHeight="1" x14ac:dyDescent="0.2">
      <c r="B10" t="str">
        <f>IFERROR(VLOOKUP(B7, tblClientes[], 4, ), "-")</f>
        <v>Ciudad 1</v>
      </c>
    </row>
    <row r="11" spans="2:5" ht="30" customHeight="1" x14ac:dyDescent="0.2">
      <c r="B11" s="3" t="str">
        <f>IFERROR(VLOOKUP(B7, tblClientes[], 5, ), "-")</f>
        <v>Teléfono 1</v>
      </c>
    </row>
    <row r="12" spans="2:5" ht="30" customHeight="1" x14ac:dyDescent="0.2">
      <c r="B12" s="1" t="s">
        <v>9</v>
      </c>
      <c r="C12" s="11" t="s">
        <v>1</v>
      </c>
      <c r="D12" s="1" t="s">
        <v>10</v>
      </c>
      <c r="E12" s="1" t="s">
        <v>7</v>
      </c>
    </row>
    <row r="13" spans="2:5" ht="30" customHeight="1" x14ac:dyDescent="0.2">
      <c r="B13" s="28">
        <f>IF('Consulta Factura'!$E$4='TD-Consulta-Factura'!A4,'TD-Consulta-Factura'!B4,"")</f>
        <v>1001</v>
      </c>
      <c r="C13" s="29" t="str">
        <f>IFERROR(VLOOKUP(Factura6[[#This Row],[CÓDIGO]],tblProductos[],2,), "")</f>
        <v>Producto 1</v>
      </c>
      <c r="D13" s="30">
        <f>IF('Consulta Factura'!$E$4='TD-Consulta-Factura'!A4, 'TD-Consulta-Factura'!C4,"")</f>
        <v>1</v>
      </c>
      <c r="E13" s="33">
        <f>IFERROR(Factura6[[#This Row],[CANTIDAD]]*VLOOKUP(Factura6[[#This Row],[CÓDIGO]], tblProductos[], 3, ),"")</f>
        <v>263</v>
      </c>
    </row>
    <row r="14" spans="2:5" ht="30" customHeight="1" x14ac:dyDescent="0.2">
      <c r="B14" s="28">
        <f>IF('Consulta Factura'!$E$4='TD-Consulta-Factura'!A5,'TD-Consulta-Factura'!B5,"")</f>
        <v>1003</v>
      </c>
      <c r="C14" s="29" t="str">
        <f>IFERROR(VLOOKUP(Factura6[[#This Row],[CÓDIGO]],tblProductos[],2,), "")</f>
        <v>Producto 3</v>
      </c>
      <c r="D14" s="30">
        <f>IF('Consulta Factura'!$E$4='TD-Consulta-Factura'!A5, 'TD-Consulta-Factura'!C5,"")</f>
        <v>10</v>
      </c>
      <c r="E14" s="33">
        <f>IFERROR(Factura6[[#This Row],[CANTIDAD]]*VLOOKUP(Factura6[[#This Row],[CÓDIGO]], tblProductos[], 3, ),"")</f>
        <v>4040</v>
      </c>
    </row>
    <row r="15" spans="2:5" ht="30" customHeight="1" x14ac:dyDescent="0.2">
      <c r="B15" s="28" t="str">
        <f>IF('Consulta Factura'!$E$4='TD-Consulta-Factura'!A6,'TD-Consulta-Factura'!B6,"")</f>
        <v/>
      </c>
      <c r="C15" s="29" t="str">
        <f>IFERROR(VLOOKUP(Factura6[[#This Row],[CÓDIGO]],tblProductos[],2,), "")</f>
        <v/>
      </c>
      <c r="D15" s="30" t="str">
        <f>IF('Consulta Factura'!$E$4='TD-Consulta-Factura'!A6, 'TD-Consulta-Factura'!C6,"")</f>
        <v/>
      </c>
      <c r="E15" s="33" t="str">
        <f>IFERROR(Factura6[[#This Row],[CANTIDAD]]*VLOOKUP(Factura6[[#This Row],[CÓDIGO]], tblProductos[], 3, ),"")</f>
        <v/>
      </c>
    </row>
    <row r="16" spans="2:5" ht="30" customHeight="1" x14ac:dyDescent="0.2">
      <c r="B16" s="28" t="str">
        <f>IF('Consulta Factura'!$E$4='TD-Consulta-Factura'!A7,'TD-Consulta-Factura'!B7,"")</f>
        <v/>
      </c>
      <c r="C16" s="29" t="str">
        <f>IFERROR(VLOOKUP(Factura6[[#This Row],[CÓDIGO]],tblProductos[],2,), "")</f>
        <v/>
      </c>
      <c r="D16" s="30" t="str">
        <f>IF('Consulta Factura'!$E$4='TD-Consulta-Factura'!A7, 'TD-Consulta-Factura'!C7,"")</f>
        <v/>
      </c>
      <c r="E16" s="33" t="str">
        <f>IFERROR(Factura6[[#This Row],[CANTIDAD]]*VLOOKUP(Factura6[[#This Row],[CÓDIGO]], tblProductos[], 3, ),"")</f>
        <v/>
      </c>
    </row>
    <row r="17" spans="2:5" ht="30" customHeight="1" x14ac:dyDescent="0.2">
      <c r="B17" s="28" t="str">
        <f>IF('Consulta Factura'!$E$4='TD-Consulta-Factura'!A8,'TD-Consulta-Factura'!B8,"")</f>
        <v/>
      </c>
      <c r="C17" s="29" t="str">
        <f>IFERROR(VLOOKUP(Factura6[[#This Row],[CÓDIGO]],tblProductos[],2,), "")</f>
        <v/>
      </c>
      <c r="D17" s="30" t="str">
        <f>IF('Consulta Factura'!$E$4='TD-Consulta-Factura'!A8, 'TD-Consulta-Factura'!C8,"")</f>
        <v/>
      </c>
      <c r="E17" s="33" t="str">
        <f>IFERROR(Factura6[[#This Row],[CANTIDAD]]*VLOOKUP(Factura6[[#This Row],[CÓDIGO]], tblProductos[], 3, ),"")</f>
        <v/>
      </c>
    </row>
    <row r="18" spans="2:5" ht="30" customHeight="1" x14ac:dyDescent="0.2">
      <c r="B18" s="28" t="str">
        <f>IF('Consulta Factura'!$E$4='TD-Consulta-Factura'!A9,'TD-Consulta-Factura'!B9,"")</f>
        <v/>
      </c>
      <c r="C18" s="29" t="str">
        <f>IFERROR(VLOOKUP(Factura6[[#This Row],[CÓDIGO]],tblProductos[],2,), "")</f>
        <v/>
      </c>
      <c r="D18" s="30" t="str">
        <f>IF('Consulta Factura'!$E$4='TD-Consulta-Factura'!A9, 'TD-Consulta-Factura'!C9,"")</f>
        <v/>
      </c>
      <c r="E18" s="33" t="str">
        <f>IFERROR(Factura6[[#This Row],[CANTIDAD]]*VLOOKUP(Factura6[[#This Row],[CÓDIGO]], tblProductos[], 3, ),"")</f>
        <v/>
      </c>
    </row>
    <row r="19" spans="2:5" ht="30" customHeight="1" x14ac:dyDescent="0.2">
      <c r="B19" s="28" t="str">
        <f>IF('Consulta Factura'!$E$4='TD-Consulta-Factura'!A10,'TD-Consulta-Factura'!B10,"")</f>
        <v/>
      </c>
      <c r="C19" s="29" t="str">
        <f>IFERROR(VLOOKUP(Factura6[[#This Row],[CÓDIGO]],tblProductos[],2,), "")</f>
        <v/>
      </c>
      <c r="D19" s="30" t="str">
        <f>IF('Consulta Factura'!$E$4='TD-Consulta-Factura'!A10, 'TD-Consulta-Factura'!C10,"")</f>
        <v/>
      </c>
      <c r="E19" s="33" t="str">
        <f>IFERROR(Factura6[[#This Row],[CANTIDAD]]*VLOOKUP(Factura6[[#This Row],[CÓDIGO]], tblProductos[], 3, ),"")</f>
        <v/>
      </c>
    </row>
    <row r="20" spans="2:5" ht="30" customHeight="1" x14ac:dyDescent="0.2">
      <c r="B20" s="28" t="str">
        <f>IF('Consulta Factura'!$E$4='TD-Consulta-Factura'!A11,'TD-Consulta-Factura'!B11,"")</f>
        <v/>
      </c>
      <c r="C20" s="29" t="str">
        <f>IFERROR(VLOOKUP(Factura6[[#This Row],[CÓDIGO]],tblProductos[],2,), "")</f>
        <v/>
      </c>
      <c r="D20" s="30" t="str">
        <f>IF('Consulta Factura'!$E$4='TD-Consulta-Factura'!A11, 'TD-Consulta-Factura'!C11,"")</f>
        <v/>
      </c>
      <c r="E20" s="33" t="str">
        <f>IFERROR(Factura6[[#This Row],[CANTIDAD]]*VLOOKUP(Factura6[[#This Row],[CÓDIGO]], tblProductos[], 3, ),"")</f>
        <v/>
      </c>
    </row>
    <row r="21" spans="2:5" ht="30" customHeight="1" x14ac:dyDescent="0.2">
      <c r="B21" s="28" t="str">
        <f>IF('Consulta Factura'!$E$4='TD-Consulta-Factura'!A12,'TD-Consulta-Factura'!B12,"")</f>
        <v/>
      </c>
      <c r="C21" s="29" t="str">
        <f>IFERROR(VLOOKUP(Factura6[[#This Row],[CÓDIGO]],tblProductos[],2,), "")</f>
        <v/>
      </c>
      <c r="D21" s="30" t="str">
        <f>IF('Consulta Factura'!$E$4='TD-Consulta-Factura'!A12, 'TD-Consulta-Factura'!C12,"")</f>
        <v/>
      </c>
      <c r="E21" s="33" t="str">
        <f>IFERROR(Factura6[[#This Row],[CANTIDAD]]*VLOOKUP(Factura6[[#This Row],[CÓDIGO]], tblProductos[], 3, ),"")</f>
        <v/>
      </c>
    </row>
    <row r="22" spans="2:5" ht="30" customHeight="1" x14ac:dyDescent="0.2">
      <c r="B22" s="28" t="str">
        <f>IF('Consulta Factura'!$E$4='TD-Consulta-Factura'!A13,'TD-Consulta-Factura'!B13,"")</f>
        <v/>
      </c>
      <c r="C22" s="29" t="str">
        <f>IFERROR(VLOOKUP(Factura6[[#This Row],[CÓDIGO]],tblProductos[],2,), "")</f>
        <v/>
      </c>
      <c r="D22" s="30" t="str">
        <f>IF('Consulta Factura'!$E$4='TD-Consulta-Factura'!A13, 'TD-Consulta-Factura'!C13,"")</f>
        <v/>
      </c>
      <c r="E22" s="33" t="str">
        <f>IFERROR(Factura6[[#This Row],[CANTIDAD]]*VLOOKUP(Factura6[[#This Row],[CÓDIGO]], tblProductos[], 3, ),"")</f>
        <v/>
      </c>
    </row>
    <row r="23" spans="2:5" ht="30" customHeight="1" x14ac:dyDescent="0.2">
      <c r="B23" s="28" t="str">
        <f>IF('Consulta Factura'!$E$4='TD-Consulta-Factura'!A14,'TD-Consulta-Factura'!B14,"")</f>
        <v/>
      </c>
      <c r="C23" s="29" t="str">
        <f>IFERROR(VLOOKUP(Factura6[[#This Row],[CÓDIGO]],tblProductos[],2,), "")</f>
        <v/>
      </c>
      <c r="D23" s="30" t="str">
        <f>IF('Consulta Factura'!$E$4='TD-Consulta-Factura'!A14, 'TD-Consulta-Factura'!C14,"")</f>
        <v/>
      </c>
      <c r="E23" s="33" t="str">
        <f>IFERROR(Factura6[[#This Row],[CANTIDAD]]*VLOOKUP(Factura6[[#This Row],[CÓDIGO]], tblProductos[], 3, ),"")</f>
        <v/>
      </c>
    </row>
    <row r="24" spans="2:5" ht="30" customHeight="1" x14ac:dyDescent="0.2">
      <c r="D24" s="10" t="s">
        <v>8</v>
      </c>
      <c r="E24" s="34">
        <f>SUBTOTAL(109,Factura6[IMPORTE])</f>
        <v>4303</v>
      </c>
    </row>
    <row r="25" spans="2:5" ht="5.45" customHeight="1" x14ac:dyDescent="0.2">
      <c r="C25" s="4"/>
      <c r="D25" s="4"/>
      <c r="E25" s="8"/>
    </row>
    <row r="26" spans="2:5" ht="30" customHeight="1" x14ac:dyDescent="0.2">
      <c r="B26" s="37" t="str">
        <f>"Todos los cheques se extenderán a nombre de "&amp;Nombre_empresa&amp;""</f>
        <v>Todos los cheques se extenderán a nombre de R I P L E Y</v>
      </c>
      <c r="C26" s="37"/>
      <c r="D26" s="37"/>
      <c r="E26" s="37"/>
    </row>
    <row r="27" spans="2:5" ht="30" customHeight="1" x14ac:dyDescent="0.2">
      <c r="B27" s="37" t="s">
        <v>2</v>
      </c>
      <c r="C27" s="37"/>
      <c r="D27" s="37"/>
      <c r="E27" s="37"/>
    </row>
    <row r="28" spans="2:5" ht="30" customHeight="1" x14ac:dyDescent="0.25">
      <c r="B28" s="38" t="s">
        <v>3</v>
      </c>
      <c r="C28" s="38"/>
      <c r="D28" s="38"/>
      <c r="E28" s="38"/>
    </row>
  </sheetData>
  <mergeCells count="7">
    <mergeCell ref="B28:E28"/>
    <mergeCell ref="B1:C1"/>
    <mergeCell ref="D1:E1"/>
    <mergeCell ref="B2:C2"/>
    <mergeCell ref="B4:C4"/>
    <mergeCell ref="B26:E26"/>
    <mergeCell ref="B27:E27"/>
  </mergeCells>
  <dataValidations count="22">
    <dataValidation allowBlank="1" showInputMessage="1" showErrorMessage="1" prompt="Escriba la fecha de la factura en la celda de la derecha." sqref="D3" xr:uid="{F4886F3C-C863-4F3B-9C0D-26752DEA30DA}"/>
    <dataValidation allowBlank="1" showInputMessage="1" showErrorMessage="1" prompt="Escriba el número de factura en la celda de la derecha." sqref="D4" xr:uid="{5C0A36CA-92DE-4621-AD0B-AC8D321AFD35}"/>
    <dataValidation allowBlank="1" showInputMessage="1" showErrorMessage="1" prompt="Escriba la descripción del producto de la factura en la celda de la derecha." sqref="D5" xr:uid="{35839811-31BD-4506-8AE9-F93D4997BD05}"/>
    <dataValidation allowBlank="1" showInputMessage="1" showErrorMessage="1" prompt="El título de esta hoja de cálculo se muestra en esta celda. Escriba los detalles de la factura de la celda C3 a la D5." sqref="D1" xr:uid="{AD9EE03D-8283-48D5-97ED-9F433AFC4039}"/>
    <dataValidation allowBlank="1" showInputMessage="1" showErrorMessage="1" prompt="Cree una factura que calcule el total en esta hoja de cálculo. Escriba los detalles de la empresa y del cliente, así como las descripciones y los importes en la tabla Factura. El total pendiente se calcula automáticamente" sqref="A1" xr:uid="{6CBC3FD9-D2BE-4331-8B90-4F8B931C299E}"/>
    <dataValidation allowBlank="1" showInputMessage="1" showErrorMessage="1" prompt="Escriba el nombre de la empresa que factura en esta celda y el lema en la celda siguiente" sqref="B1" xr:uid="{68F8D99E-E03E-44C5-86E9-D21C38C14A58}"/>
    <dataValidation allowBlank="1" showInputMessage="1" showErrorMessage="1" prompt="Escriba la fecha de la factura en esta celda." sqref="E3" xr:uid="{9CADE890-BB8A-42D1-A490-69FD8B2F50FB}"/>
    <dataValidation allowBlank="1" showInputMessage="1" showErrorMessage="1" prompt="Escriba el número de factura en esta celda." sqref="E4" xr:uid="{1C1A6C05-871F-4FAE-A2FC-4048B752EF31}"/>
    <dataValidation allowBlank="1" showInputMessage="1" showErrorMessage="1" prompt="Escriba la descripción del producto de la factura en esta celda." sqref="E5" xr:uid="{6788AB57-8693-4915-A6D8-0B135D7ADBE1}"/>
    <dataValidation allowBlank="1" showInputMessage="1" showErrorMessage="1" prompt="Escriba el lema de la empresa en esta celda y la dirección de la empresa en las celdas siguientes." sqref="B2" xr:uid="{0781D9C1-4DCA-4110-97FB-4F275FD31DE6}"/>
    <dataValidation allowBlank="1" showInputMessage="1" showErrorMessage="1" prompt="Escriba la ciudad, el estado o la provincia y el código postal en esta celda." sqref="B4" xr:uid="{E01B94C5-7725-470B-8AD1-DFAF9B4E46D6}"/>
    <dataValidation allowBlank="1" showInputMessage="1" showErrorMessage="1" prompt="Escriba en esta celda los números de teléfono y fax entre corchetes." sqref="B5" xr:uid="{97CF4952-8F24-4DC3-9E98-8352902FDDD4}"/>
    <dataValidation allowBlank="1" showInputMessage="1" showErrorMessage="1" prompt="Escriba el nombre del cliente, el nombre de la empresa, la dirección y el número de teléfono en las celdas siguientes." sqref="B6" xr:uid="{32CB4394-CC4B-4D4D-813A-AB31D59D6CB5}"/>
    <dataValidation allowBlank="1" showInputMessage="1" showErrorMessage="1" prompt="Escriba el número de teléfono del cliente en esta celda." sqref="B11" xr:uid="{FAA69C6A-BC91-4E07-B301-8FF4EDE7440D}"/>
    <dataValidation allowBlank="1" showInputMessage="1" showErrorMessage="1" prompt="Escriba la ciudad, el estado y el código postal del cliente en esta celda." sqref="B10" xr:uid="{45359C07-C04A-4921-A10B-F59A70FD4145}"/>
    <dataValidation allowBlank="1" showInputMessage="1" showErrorMessage="1" prompt="Escriba la dirección del cliente en esta celda." sqref="B9" xr:uid="{5724E810-EC04-462B-9D9D-AE24BF8030C7}"/>
    <dataValidation allowBlank="1" showInputMessage="1" showErrorMessage="1" prompt="Escriba el nombre de la empresa en esta celda." sqref="B8" xr:uid="{DC4DF3EA-81D9-4E1B-934B-9252156C08A5}"/>
    <dataValidation allowBlank="1" showInputMessage="1" showErrorMessage="1" prompt="Escriba la descripción de la factura en la columna con este encabezado." sqref="B12" xr:uid="{C18D4685-9D1E-4D9F-A25F-B38E1A531C28}"/>
    <dataValidation allowBlank="1" showInputMessage="1" showErrorMessage="1" prompt="Escriba el campo personalizado en este encabezado y los datos correspondientes en la columna con este encabezado." sqref="C12:D12" xr:uid="{3B2E23B4-968D-498B-AFB5-AE269D92B712}"/>
    <dataValidation allowBlank="1" showInputMessage="1" showErrorMessage="1" prompt="Escriba el importe en la columna con este encabezado para cada descripción de la columna B. La última celda de la tabla contiene el importe adeudado." sqref="E12" xr:uid="{B5D07B29-9A8A-4F23-BFAF-101039D1F094}"/>
    <dataValidation allowBlank="1" showInputMessage="1" showErrorMessage="1" prompt="Escriba en esta celda el nombre de contacto, número de teléfono y correo electrónico de la empresa que factura." sqref="B27:E27" xr:uid="{66CD4811-A796-4E31-874F-B0D6CC4104D1}"/>
    <dataValidation allowBlank="1" showInputMessage="1" showErrorMessage="1" prompt="El nombre de la empresa se anexa automáticamente en esta celda" sqref="B26" xr:uid="{18DBC84C-93B6-42F8-9D62-4442AE7227E3}"/>
  </dataValidations>
  <printOptions horizontalCentered="1"/>
  <pageMargins left="0.5" right="0.5" top="0.5" bottom="0.5" header="0.5" footer="0.5"/>
  <pageSetup paperSize="9" scale="91" fitToHeight="0" orientation="portrait" r:id="rId1"/>
  <headerFooter differentFirst="1">
    <oddFooter>Page &amp;P of &amp;N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5B44C-5D25-4C75-AF7C-B4C00499DFF2}">
  <sheetPr codeName="Hoja2"/>
  <dimension ref="A1:J21"/>
  <sheetViews>
    <sheetView workbookViewId="0">
      <selection activeCell="G11" sqref="G11"/>
    </sheetView>
  </sheetViews>
  <sheetFormatPr baseColWidth="10" defaultRowHeight="14.25" x14ac:dyDescent="0.2"/>
  <cols>
    <col min="1" max="1" width="13.75" customWidth="1"/>
    <col min="2" max="2" width="17.375" customWidth="1"/>
    <col min="3" max="3" width="16.5" customWidth="1"/>
    <col min="4" max="4" width="14" customWidth="1"/>
    <col min="5" max="5" width="28.25" customWidth="1"/>
    <col min="6" max="6" width="13.125" customWidth="1"/>
    <col min="7" max="7" width="16.625" customWidth="1"/>
    <col min="8" max="8" width="85.875" customWidth="1"/>
    <col min="10" max="10" width="27.625" customWidth="1"/>
  </cols>
  <sheetData>
    <row r="1" spans="1:10" ht="28.5" x14ac:dyDescent="0.2">
      <c r="A1" s="25" t="s">
        <v>108</v>
      </c>
      <c r="B1" s="25" t="s">
        <v>109</v>
      </c>
      <c r="C1" s="25" t="s">
        <v>110</v>
      </c>
      <c r="D1" s="25" t="s">
        <v>92</v>
      </c>
      <c r="E1" s="25" t="s">
        <v>93</v>
      </c>
      <c r="F1" s="25" t="s">
        <v>10</v>
      </c>
      <c r="G1" s="25" t="s">
        <v>7</v>
      </c>
      <c r="H1" s="25" t="s">
        <v>112</v>
      </c>
      <c r="I1" s="31">
        <f t="array" aca="1" ref="I1" ca="1">OFFSET(B1,COUNTA(A:A)-1,0,COUNTA(A:A),1)</f>
        <v>5</v>
      </c>
      <c r="J1" s="31" t="s">
        <v>111</v>
      </c>
    </row>
    <row r="2" spans="1:10" x14ac:dyDescent="0.2">
      <c r="A2" s="32">
        <v>45720</v>
      </c>
      <c r="B2">
        <v>1</v>
      </c>
      <c r="C2" t="s">
        <v>22</v>
      </c>
      <c r="D2">
        <v>1003</v>
      </c>
      <c r="E2" t="s">
        <v>97</v>
      </c>
      <c r="F2">
        <v>10</v>
      </c>
      <c r="G2">
        <v>4040</v>
      </c>
      <c r="H2" t="s">
        <v>113</v>
      </c>
    </row>
    <row r="3" spans="1:10" x14ac:dyDescent="0.2">
      <c r="A3" s="32">
        <v>45720</v>
      </c>
      <c r="B3">
        <v>1</v>
      </c>
      <c r="C3" t="s">
        <v>22</v>
      </c>
      <c r="D3">
        <v>1001</v>
      </c>
      <c r="E3" t="s">
        <v>95</v>
      </c>
      <c r="F3">
        <v>1</v>
      </c>
      <c r="G3">
        <v>263</v>
      </c>
      <c r="H3" t="s">
        <v>113</v>
      </c>
    </row>
    <row r="4" spans="1:10" x14ac:dyDescent="0.2">
      <c r="A4" s="32">
        <v>45720</v>
      </c>
      <c r="B4">
        <v>2</v>
      </c>
      <c r="C4" t="s">
        <v>67</v>
      </c>
      <c r="D4">
        <v>1003</v>
      </c>
      <c r="E4" t="s">
        <v>97</v>
      </c>
      <c r="F4">
        <v>7</v>
      </c>
      <c r="G4">
        <v>2828</v>
      </c>
      <c r="H4" t="s">
        <v>114</v>
      </c>
    </row>
    <row r="5" spans="1:10" x14ac:dyDescent="0.2">
      <c r="A5" s="32">
        <v>45720</v>
      </c>
      <c r="B5">
        <v>2</v>
      </c>
      <c r="C5" t="s">
        <v>67</v>
      </c>
      <c r="D5">
        <v>1004</v>
      </c>
      <c r="E5" t="s">
        <v>98</v>
      </c>
      <c r="F5">
        <v>8</v>
      </c>
      <c r="G5">
        <v>2560</v>
      </c>
      <c r="H5" t="s">
        <v>114</v>
      </c>
    </row>
    <row r="6" spans="1:10" x14ac:dyDescent="0.2">
      <c r="A6" s="32">
        <v>45721</v>
      </c>
      <c r="B6">
        <v>3</v>
      </c>
      <c r="C6" t="s">
        <v>77</v>
      </c>
      <c r="D6">
        <v>1012</v>
      </c>
      <c r="E6" t="s">
        <v>106</v>
      </c>
      <c r="F6">
        <v>50</v>
      </c>
      <c r="G6">
        <v>24350</v>
      </c>
      <c r="H6" t="s">
        <v>115</v>
      </c>
    </row>
    <row r="7" spans="1:10" x14ac:dyDescent="0.2">
      <c r="A7" s="32">
        <v>45721</v>
      </c>
      <c r="B7">
        <v>4</v>
      </c>
      <c r="C7" t="s">
        <v>77</v>
      </c>
      <c r="D7">
        <v>1010</v>
      </c>
      <c r="E7" t="s">
        <v>104</v>
      </c>
      <c r="F7">
        <v>3</v>
      </c>
      <c r="G7">
        <v>336</v>
      </c>
      <c r="H7" t="s">
        <v>116</v>
      </c>
    </row>
    <row r="8" spans="1:10" x14ac:dyDescent="0.2">
      <c r="A8" s="32">
        <v>45721</v>
      </c>
      <c r="B8">
        <v>4</v>
      </c>
      <c r="C8" t="s">
        <v>77</v>
      </c>
      <c r="D8">
        <v>1003</v>
      </c>
      <c r="E8" t="s">
        <v>97</v>
      </c>
      <c r="F8">
        <v>2</v>
      </c>
      <c r="G8">
        <v>808</v>
      </c>
      <c r="H8" t="s">
        <v>117</v>
      </c>
    </row>
    <row r="9" spans="1:10" x14ac:dyDescent="0.2">
      <c r="A9" s="32">
        <v>45721</v>
      </c>
      <c r="B9">
        <v>4</v>
      </c>
      <c r="C9" t="s">
        <v>77</v>
      </c>
      <c r="D9">
        <v>1007</v>
      </c>
      <c r="E9" t="s">
        <v>101</v>
      </c>
      <c r="F9">
        <v>7</v>
      </c>
      <c r="G9">
        <v>2079</v>
      </c>
      <c r="H9" t="s">
        <v>116</v>
      </c>
    </row>
    <row r="10" spans="1:10" x14ac:dyDescent="0.2">
      <c r="A10" s="32">
        <v>45722</v>
      </c>
      <c r="B10">
        <v>5</v>
      </c>
      <c r="C10" t="s">
        <v>62</v>
      </c>
      <c r="D10">
        <v>1007</v>
      </c>
      <c r="E10" t="s">
        <v>101</v>
      </c>
      <c r="F10">
        <v>3</v>
      </c>
      <c r="G10">
        <v>891</v>
      </c>
      <c r="H10" t="s">
        <v>118</v>
      </c>
    </row>
    <row r="11" spans="1:10" x14ac:dyDescent="0.2">
      <c r="A11" s="32">
        <v>45722</v>
      </c>
      <c r="B11">
        <v>5</v>
      </c>
      <c r="C11" t="s">
        <v>62</v>
      </c>
      <c r="D11">
        <v>1011</v>
      </c>
      <c r="E11" t="s">
        <v>105</v>
      </c>
      <c r="F11">
        <v>6</v>
      </c>
      <c r="G11">
        <v>1050</v>
      </c>
      <c r="H11" t="s">
        <v>118</v>
      </c>
    </row>
    <row r="12" spans="1:10" x14ac:dyDescent="0.2">
      <c r="A12" s="32"/>
    </row>
    <row r="13" spans="1:10" x14ac:dyDescent="0.2">
      <c r="A13" s="32"/>
    </row>
    <row r="14" spans="1:10" x14ac:dyDescent="0.2">
      <c r="A14" s="32"/>
    </row>
    <row r="15" spans="1:10" x14ac:dyDescent="0.2">
      <c r="A15" s="32"/>
    </row>
    <row r="16" spans="1:10" x14ac:dyDescent="0.2">
      <c r="A16" s="32"/>
    </row>
    <row r="17" spans="1:1" x14ac:dyDescent="0.2">
      <c r="A17" s="32"/>
    </row>
    <row r="18" spans="1:1" x14ac:dyDescent="0.2">
      <c r="A18" s="32"/>
    </row>
    <row r="19" spans="1:1" x14ac:dyDescent="0.2">
      <c r="A19" s="32"/>
    </row>
    <row r="20" spans="1:1" x14ac:dyDescent="0.2">
      <c r="A20" s="32"/>
    </row>
    <row r="21" spans="1:1" x14ac:dyDescent="0.2">
      <c r="A21" s="3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1FE27-8131-468B-9E8C-0686ECE7475A}">
  <sheetPr codeName="Hoja3"/>
  <dimension ref="A1:E15"/>
  <sheetViews>
    <sheetView workbookViewId="0">
      <selection activeCell="C13" sqref="C13"/>
    </sheetView>
  </sheetViews>
  <sheetFormatPr baseColWidth="10" defaultRowHeight="14.25" x14ac:dyDescent="0.2"/>
  <cols>
    <col min="2" max="2" width="31.125" customWidth="1"/>
    <col min="3" max="3" width="17.625" customWidth="1"/>
    <col min="4" max="4" width="26.75" customWidth="1"/>
    <col min="5" max="5" width="12.75" customWidth="1"/>
  </cols>
  <sheetData>
    <row r="1" spans="1:5" ht="22.5" customHeight="1" x14ac:dyDescent="0.2">
      <c r="A1" s="15" t="s">
        <v>17</v>
      </c>
      <c r="B1" s="16" t="s">
        <v>18</v>
      </c>
      <c r="C1" s="16" t="s">
        <v>19</v>
      </c>
      <c r="D1" s="16" t="s">
        <v>20</v>
      </c>
      <c r="E1" s="17" t="s">
        <v>21</v>
      </c>
    </row>
    <row r="2" spans="1:5" x14ac:dyDescent="0.2">
      <c r="A2" s="18" t="s">
        <v>22</v>
      </c>
      <c r="B2" s="19" t="s">
        <v>23</v>
      </c>
      <c r="C2" s="19" t="s">
        <v>24</v>
      </c>
      <c r="D2" s="19" t="s">
        <v>25</v>
      </c>
      <c r="E2" s="20" t="s">
        <v>26</v>
      </c>
    </row>
    <row r="3" spans="1:5" x14ac:dyDescent="0.2">
      <c r="A3" s="18" t="s">
        <v>27</v>
      </c>
      <c r="B3" s="19" t="s">
        <v>28</v>
      </c>
      <c r="C3" s="19" t="s">
        <v>29</v>
      </c>
      <c r="D3" s="19" t="s">
        <v>30</v>
      </c>
      <c r="E3" s="20" t="s">
        <v>31</v>
      </c>
    </row>
    <row r="4" spans="1:5" x14ac:dyDescent="0.2">
      <c r="A4" s="18" t="s">
        <v>32</v>
      </c>
      <c r="B4" s="19" t="s">
        <v>33</v>
      </c>
      <c r="C4" s="19" t="s">
        <v>34</v>
      </c>
      <c r="D4" s="19" t="s">
        <v>35</v>
      </c>
      <c r="E4" s="20" t="s">
        <v>36</v>
      </c>
    </row>
    <row r="5" spans="1:5" x14ac:dyDescent="0.2">
      <c r="A5" s="18" t="s">
        <v>37</v>
      </c>
      <c r="B5" s="19" t="s">
        <v>38</v>
      </c>
      <c r="C5" s="19" t="s">
        <v>39</v>
      </c>
      <c r="D5" s="19" t="s">
        <v>40</v>
      </c>
      <c r="E5" s="20" t="s">
        <v>41</v>
      </c>
    </row>
    <row r="6" spans="1:5" x14ac:dyDescent="0.2">
      <c r="A6" s="18" t="s">
        <v>42</v>
      </c>
      <c r="B6" s="19" t="s">
        <v>43</v>
      </c>
      <c r="C6" s="19" t="s">
        <v>44</v>
      </c>
      <c r="D6" s="19" t="s">
        <v>45</v>
      </c>
      <c r="E6" s="20" t="s">
        <v>46</v>
      </c>
    </row>
    <row r="7" spans="1:5" x14ac:dyDescent="0.2">
      <c r="A7" s="18" t="s">
        <v>47</v>
      </c>
      <c r="B7" s="19" t="s">
        <v>48</v>
      </c>
      <c r="C7" s="19" t="s">
        <v>49</v>
      </c>
      <c r="D7" s="19" t="s">
        <v>50</v>
      </c>
      <c r="E7" s="20" t="s">
        <v>51</v>
      </c>
    </row>
    <row r="8" spans="1:5" x14ac:dyDescent="0.2">
      <c r="A8" s="18" t="s">
        <v>52</v>
      </c>
      <c r="B8" s="19" t="s">
        <v>53</v>
      </c>
      <c r="C8" s="19" t="s">
        <v>54</v>
      </c>
      <c r="D8" s="19" t="s">
        <v>55</v>
      </c>
      <c r="E8" s="20" t="s">
        <v>56</v>
      </c>
    </row>
    <row r="9" spans="1:5" x14ac:dyDescent="0.2">
      <c r="A9" s="18" t="s">
        <v>57</v>
      </c>
      <c r="B9" s="19" t="s">
        <v>58</v>
      </c>
      <c r="C9" s="19" t="s">
        <v>59</v>
      </c>
      <c r="D9" s="19" t="s">
        <v>60</v>
      </c>
      <c r="E9" s="20" t="s">
        <v>61</v>
      </c>
    </row>
    <row r="10" spans="1:5" x14ac:dyDescent="0.2">
      <c r="A10" s="18" t="s">
        <v>62</v>
      </c>
      <c r="B10" s="19" t="s">
        <v>63</v>
      </c>
      <c r="C10" s="19" t="s">
        <v>64</v>
      </c>
      <c r="D10" s="19" t="s">
        <v>65</v>
      </c>
      <c r="E10" s="20" t="s">
        <v>66</v>
      </c>
    </row>
    <row r="11" spans="1:5" x14ac:dyDescent="0.2">
      <c r="A11" s="18" t="s">
        <v>67</v>
      </c>
      <c r="B11" s="19" t="s">
        <v>68</v>
      </c>
      <c r="C11" s="19" t="s">
        <v>69</v>
      </c>
      <c r="D11" s="19" t="s">
        <v>70</v>
      </c>
      <c r="E11" s="20" t="s">
        <v>71</v>
      </c>
    </row>
    <row r="12" spans="1:5" x14ac:dyDescent="0.2">
      <c r="A12" s="18" t="s">
        <v>72</v>
      </c>
      <c r="B12" s="19" t="s">
        <v>73</v>
      </c>
      <c r="C12" s="19" t="s">
        <v>74</v>
      </c>
      <c r="D12" s="19" t="s">
        <v>75</v>
      </c>
      <c r="E12" s="20" t="s">
        <v>76</v>
      </c>
    </row>
    <row r="13" spans="1:5" x14ac:dyDescent="0.2">
      <c r="A13" s="18" t="s">
        <v>77</v>
      </c>
      <c r="B13" s="19" t="s">
        <v>78</v>
      </c>
      <c r="C13" s="19" t="s">
        <v>79</v>
      </c>
      <c r="D13" s="19" t="s">
        <v>80</v>
      </c>
      <c r="E13" s="20" t="s">
        <v>81</v>
      </c>
    </row>
    <row r="14" spans="1:5" x14ac:dyDescent="0.2">
      <c r="A14" s="18" t="s">
        <v>82</v>
      </c>
      <c r="B14" s="19" t="s">
        <v>83</v>
      </c>
      <c r="C14" s="19" t="s">
        <v>84</v>
      </c>
      <c r="D14" s="19" t="s">
        <v>85</v>
      </c>
      <c r="E14" s="20" t="s">
        <v>86</v>
      </c>
    </row>
    <row r="15" spans="1:5" x14ac:dyDescent="0.2">
      <c r="A15" s="21" t="s">
        <v>87</v>
      </c>
      <c r="B15" s="22" t="s">
        <v>88</v>
      </c>
      <c r="C15" s="22" t="s">
        <v>89</v>
      </c>
      <c r="D15" s="22" t="s">
        <v>90</v>
      </c>
      <c r="E15" s="23" t="s">
        <v>91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6F0EB-D0C4-4AB0-A0A5-53E3F778DED4}">
  <sheetPr codeName="Hoja4"/>
  <dimension ref="A1:C14"/>
  <sheetViews>
    <sheetView workbookViewId="0">
      <selection activeCell="C6" sqref="C6"/>
    </sheetView>
  </sheetViews>
  <sheetFormatPr baseColWidth="10" defaultRowHeight="14.25" x14ac:dyDescent="0.2"/>
  <cols>
    <col min="2" max="2" width="15.5" customWidth="1"/>
    <col min="3" max="3" width="12.875" customWidth="1"/>
  </cols>
  <sheetData>
    <row r="1" spans="1:3" ht="18" customHeight="1" x14ac:dyDescent="0.2">
      <c r="A1" s="24" t="s">
        <v>92</v>
      </c>
      <c r="B1" s="25" t="s">
        <v>93</v>
      </c>
      <c r="C1" s="26" t="s">
        <v>94</v>
      </c>
    </row>
    <row r="2" spans="1:3" x14ac:dyDescent="0.2">
      <c r="A2" s="18">
        <v>1001</v>
      </c>
      <c r="B2" s="19" t="s">
        <v>95</v>
      </c>
      <c r="C2" s="20">
        <v>263</v>
      </c>
    </row>
    <row r="3" spans="1:3" x14ac:dyDescent="0.2">
      <c r="A3" s="18">
        <v>1002</v>
      </c>
      <c r="B3" s="19" t="s">
        <v>96</v>
      </c>
      <c r="C3" s="20">
        <v>478</v>
      </c>
    </row>
    <row r="4" spans="1:3" x14ac:dyDescent="0.2">
      <c r="A4" s="18">
        <v>1003</v>
      </c>
      <c r="B4" s="19" t="s">
        <v>97</v>
      </c>
      <c r="C4" s="20">
        <v>404</v>
      </c>
    </row>
    <row r="5" spans="1:3" x14ac:dyDescent="0.2">
      <c r="A5" s="18">
        <v>1004</v>
      </c>
      <c r="B5" s="19" t="s">
        <v>98</v>
      </c>
      <c r="C5" s="20">
        <v>320</v>
      </c>
    </row>
    <row r="6" spans="1:3" x14ac:dyDescent="0.2">
      <c r="A6" s="18">
        <v>1005</v>
      </c>
      <c r="B6" s="19" t="s">
        <v>99</v>
      </c>
      <c r="C6" s="20">
        <v>355</v>
      </c>
    </row>
    <row r="7" spans="1:3" x14ac:dyDescent="0.2">
      <c r="A7" s="18">
        <v>1006</v>
      </c>
      <c r="B7" s="19" t="s">
        <v>100</v>
      </c>
      <c r="C7" s="20">
        <v>216</v>
      </c>
    </row>
    <row r="8" spans="1:3" x14ac:dyDescent="0.2">
      <c r="A8" s="18">
        <v>1007</v>
      </c>
      <c r="B8" s="19" t="s">
        <v>101</v>
      </c>
      <c r="C8" s="20">
        <v>297</v>
      </c>
    </row>
    <row r="9" spans="1:3" x14ac:dyDescent="0.2">
      <c r="A9" s="18">
        <v>1008</v>
      </c>
      <c r="B9" s="19" t="s">
        <v>102</v>
      </c>
      <c r="C9" s="20">
        <v>270</v>
      </c>
    </row>
    <row r="10" spans="1:3" x14ac:dyDescent="0.2">
      <c r="A10" s="18">
        <v>1009</v>
      </c>
      <c r="B10" s="19" t="s">
        <v>103</v>
      </c>
      <c r="C10" s="20">
        <v>281</v>
      </c>
    </row>
    <row r="11" spans="1:3" x14ac:dyDescent="0.2">
      <c r="A11" s="18">
        <v>1010</v>
      </c>
      <c r="B11" s="19" t="s">
        <v>104</v>
      </c>
      <c r="C11" s="20">
        <v>112</v>
      </c>
    </row>
    <row r="12" spans="1:3" x14ac:dyDescent="0.2">
      <c r="A12" s="18">
        <v>1011</v>
      </c>
      <c r="B12" s="19" t="s">
        <v>105</v>
      </c>
      <c r="C12" s="20">
        <v>175</v>
      </c>
    </row>
    <row r="13" spans="1:3" x14ac:dyDescent="0.2">
      <c r="A13" s="18">
        <v>1012</v>
      </c>
      <c r="B13" s="19" t="s">
        <v>106</v>
      </c>
      <c r="C13" s="20">
        <v>487</v>
      </c>
    </row>
    <row r="14" spans="1:3" x14ac:dyDescent="0.2">
      <c r="A14" s="21">
        <v>1013</v>
      </c>
      <c r="B14" s="22" t="s">
        <v>107</v>
      </c>
      <c r="C14" s="23">
        <v>261</v>
      </c>
    </row>
  </sheetData>
  <phoneticPr fontId="27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B8768FD-A897-4E96-A3F0-B7D93590B1C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69C393F6-8D9A-4F59-A33D-C9C2FA7EFF8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5030E0-6AB1-4C95-ADA8-2C257F6CE3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TM16400410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12</vt:i4>
      </vt:variant>
    </vt:vector>
  </HeadingPairs>
  <TitlesOfParts>
    <vt:vector size="18" baseType="lpstr">
      <vt:lpstr>Factura simple</vt:lpstr>
      <vt:lpstr>TD-Consulta-Factura</vt:lpstr>
      <vt:lpstr>Consulta Factura</vt:lpstr>
      <vt:lpstr>Detalle de facturas</vt:lpstr>
      <vt:lpstr>Clientes</vt:lpstr>
      <vt:lpstr>Productos</vt:lpstr>
      <vt:lpstr>'Consulta Factura'!ColumnTitleRegion1..B11.1</vt:lpstr>
      <vt:lpstr>ColumnTitleRegion1..B11.1</vt:lpstr>
      <vt:lpstr>'Consulta Factura'!Nombre_empresa</vt:lpstr>
      <vt:lpstr>Nombre_empresa</vt:lpstr>
      <vt:lpstr>'Consulta Factura'!TítuloColumna1</vt:lpstr>
      <vt:lpstr>TítuloColumna1</vt:lpstr>
      <vt:lpstr>'Consulta Factura'!TítuloFilaRegión1..D5</vt:lpstr>
      <vt:lpstr>TítuloFilaRegión1..D5</vt:lpstr>
      <vt:lpstr>'Consulta Factura'!Títulos_a_imprimir</vt:lpstr>
      <vt:lpstr>'Factura simple'!Títulos_a_imprimir</vt:lpstr>
      <vt:lpstr>'Consulta Factura'!valCliente</vt:lpstr>
      <vt:lpstr>valCliente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2022-11-06T06:05:42Z</dcterms:created>
  <dcterms:modified xsi:type="dcterms:W3CDTF">2025-03-07T05:02:21Z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