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E3BB7CA3-DCB5-4F73-98D2-6411CB56E83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actura simple" sheetId="1" r:id="rId1"/>
    <sheet name="TD-Consulta-Factura" sheetId="5" r:id="rId2"/>
    <sheet name="Consulta Factura" sheetId="6" r:id="rId3"/>
    <sheet name="Detalle de facturas" sheetId="2" r:id="rId4"/>
    <sheet name="Clientes" sheetId="3" r:id="rId5"/>
    <sheet name="Productos" sheetId="4" r:id="rId6"/>
  </sheets>
  <definedNames>
    <definedName name="ColumnTitleRegion1..B11.1" localSheetId="2">'Consulta Factura'!$B$6</definedName>
    <definedName name="ColumnTitleRegion1..B11.1">'Factura simple'!$B$6</definedName>
    <definedName name="Nombre_empresa" localSheetId="2">'Consulta Factura'!$B$1</definedName>
    <definedName name="Nombre_empresa">'Factura simple'!$B$1</definedName>
    <definedName name="TítuloColumna1" localSheetId="2">Factura6[[#Headers],[CÓDIGO]]</definedName>
    <definedName name="TítuloColumna1">Factura[[#Headers],[CÓDIGO]]</definedName>
    <definedName name="TítuloFilaRegión1..D5" localSheetId="2">'Consulta Factura'!$D$3</definedName>
    <definedName name="TítuloFilaRegión1..D5">'Factura simple'!$D$3</definedName>
    <definedName name="_xlnm.Print_Titles" localSheetId="2">'Consulta Factura'!$12:$12</definedName>
    <definedName name="_xlnm.Print_Titles" localSheetId="0">'Factura simple'!$12:$12</definedName>
    <definedName name="valCliente" localSheetId="2">'Consulta Factura'!$B$7</definedName>
    <definedName name="valCliente">'Factura simple'!$B$7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6" l="1"/>
  <c r="E13" i="6" s="1"/>
  <c r="D14" i="6"/>
  <c r="D15" i="6"/>
  <c r="E15" i="6" s="1"/>
  <c r="D16" i="6"/>
  <c r="D17" i="6"/>
  <c r="D18" i="6"/>
  <c r="D19" i="6"/>
  <c r="E19" i="6" s="1"/>
  <c r="D20" i="6"/>
  <c r="D21" i="6"/>
  <c r="D22" i="6"/>
  <c r="D23" i="6"/>
  <c r="B14" i="6"/>
  <c r="C14" i="6" s="1"/>
  <c r="B13" i="6"/>
  <c r="C13" i="6" s="1"/>
  <c r="B15" i="6"/>
  <c r="C15" i="6" s="1"/>
  <c r="B16" i="6"/>
  <c r="B17" i="6"/>
  <c r="C17" i="6" s="1"/>
  <c r="B18" i="6"/>
  <c r="C18" i="6" s="1"/>
  <c r="B19" i="6"/>
  <c r="B20" i="6"/>
  <c r="C20" i="6" s="1"/>
  <c r="B21" i="6"/>
  <c r="B22" i="6"/>
  <c r="C22" i="6" s="1"/>
  <c r="B23" i="6"/>
  <c r="C23" i="6" s="1"/>
  <c r="B7" i="6"/>
  <c r="B10" i="6" s="1"/>
  <c r="B26" i="6"/>
  <c r="C19" i="6"/>
  <c r="E3" i="6"/>
  <c r="C14" i="1"/>
  <c r="C15" i="1"/>
  <c r="C16" i="1"/>
  <c r="E14" i="1"/>
  <c r="E15" i="1"/>
  <c r="E16" i="1"/>
  <c r="E17" i="1"/>
  <c r="E18" i="1"/>
  <c r="C17" i="1"/>
  <c r="C18" i="1"/>
  <c r="E19" i="1"/>
  <c r="E20" i="1"/>
  <c r="E21" i="1"/>
  <c r="E22" i="1"/>
  <c r="E23" i="1"/>
  <c r="C19" i="1"/>
  <c r="C20" i="1"/>
  <c r="C21" i="1"/>
  <c r="C22" i="1"/>
  <c r="C23" i="1"/>
  <c r="C13" i="1"/>
  <c r="I1" i="2" a="1"/>
  <c r="I1" i="2" s="1"/>
  <c r="E4" i="1" s="1"/>
  <c r="E13" i="1"/>
  <c r="B8" i="1"/>
  <c r="B11" i="1"/>
  <c r="B10" i="1"/>
  <c r="B9" i="1"/>
  <c r="B26" i="1"/>
  <c r="E3" i="1"/>
  <c r="E22" i="6" l="1"/>
  <c r="E16" i="6"/>
  <c r="E23" i="6"/>
  <c r="E21" i="6"/>
  <c r="C16" i="6"/>
  <c r="E17" i="6"/>
  <c r="E18" i="6"/>
  <c r="E14" i="6"/>
  <c r="E20" i="6"/>
  <c r="C21" i="6"/>
  <c r="B11" i="6"/>
  <c r="B8" i="6"/>
  <c r="B9" i="6"/>
  <c r="E24" i="1"/>
  <c r="E24" i="6" l="1"/>
</calcChain>
</file>

<file path=xl/sharedStrings.xml><?xml version="1.0" encoding="utf-8"?>
<sst xmlns="http://schemas.openxmlformats.org/spreadsheetml/2006/main" count="153" uniqueCount="112">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</sst>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  <numFmt numFmtId="171" formatCode="_-[$S/-280A]\ * #,##0.00_-;\-[$S/-280A]\ * #,##0.00_-;_-[$S/-280A]\ * &quot;-&quot;??_-;_-@_-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4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6" fillId="0" borderId="0" xfId="9">
      <alignment horizontal="right" vertical="center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6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3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0" fontId="0" fillId="0" borderId="15" xfId="0" applyBorder="1" applyAlignment="1">
      <alignment horizontal="center" wrapText="1"/>
    </xf>
    <xf numFmtId="14" fontId="0" fillId="0" borderId="0" xfId="0" applyNumberFormat="1">
      <alignment wrapText="1"/>
    </xf>
    <xf numFmtId="171" fontId="0" fillId="0" borderId="0" xfId="2" applyNumberFormat="1" applyFont="1" applyAlignment="1">
      <alignment horizontal="center" vertical="center"/>
    </xf>
    <xf numFmtId="171" fontId="1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35" borderId="0" xfId="10" applyFont="1" applyFill="1" applyAlignment="1">
      <alignment horizontal="center" vertical="center" wrapText="1"/>
    </xf>
    <xf numFmtId="0" fontId="0" fillId="0" borderId="0" xfId="0">
      <alignment wrapText="1"/>
    </xf>
    <xf numFmtId="0" fontId="10" fillId="0" borderId="0" xfId="8">
      <alignment horizontal="center"/>
    </xf>
    <xf numFmtId="0" fontId="26" fillId="0" borderId="0" xfId="3" applyFo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horizontal="left"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>
      <alignment horizontal="left" vertical="top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42"/>
      <tableStyleElement type="headerRow" dxfId="41"/>
      <tableStyleElement type="totalRow" dxfId="40"/>
      <tableStyleElement type="lastColumn" dxfId="39"/>
      <tableStyleElement type="secondColumnStripe" dxfId="38"/>
      <tableStyleElement type="lastHeaderCell" dxfId="37"/>
      <tableStyleElement type="lastTotalCell" dxfId="3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1019175</xdr:colOff>
      <xdr:row>5</xdr:row>
      <xdr:rowOff>333374</xdr:rowOff>
    </xdr:from>
    <xdr:to>
      <xdr:col>5</xdr:col>
      <xdr:colOff>38100</xdr:colOff>
      <xdr:row>9</xdr:row>
      <xdr:rowOff>19049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124450" y="2343149"/>
          <a:ext cx="2057400" cy="63817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  e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I M P R I M I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1019175</xdr:colOff>
      <xdr:row>5</xdr:row>
      <xdr:rowOff>333374</xdr:rowOff>
    </xdr:from>
    <xdr:to>
      <xdr:col>5</xdr:col>
      <xdr:colOff>38100</xdr:colOff>
      <xdr:row>9</xdr:row>
      <xdr:rowOff>19049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097065A-F430-4254-A722-B48169C8E1F8}"/>
            </a:ext>
          </a:extLst>
        </xdr:cNvPr>
        <xdr:cNvSpPr/>
      </xdr:nvSpPr>
      <xdr:spPr bwMode="auto">
        <a:xfrm>
          <a:off x="5124450" y="2343149"/>
          <a:ext cx="2057400" cy="638175"/>
        </a:xfrm>
        <a:prstGeom prst="rect">
          <a:avLst/>
        </a:prstGeom>
        <a:solidFill>
          <a:srgbClr val="7030A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C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O N S U L T A R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F A C T U R A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21.90099490741" createdVersion="8" refreshedVersion="8" minRefreshableVersion="3" recordCount="8" xr:uid="{0D8C03B1-271B-489F-AFC9-EC5B5886C91F}">
  <cacheSource type="worksheet">
    <worksheetSource name="tblDetalle"/>
  </cacheSource>
  <cacheFields count="7">
    <cacheField name="FECHA" numFmtId="14">
      <sharedItems containsSemiMixedTypes="0" containsNonDate="0" containsDate="1" containsString="0" minDate="2025-03-04T00:00:00" maxDate="2025-03-06T00:00:00"/>
    </cacheField>
    <cacheField name="CONSECUTIVO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FACTURADO A" numFmtId="0">
      <sharedItems/>
    </cacheField>
    <cacheField name="CODIGO" numFmtId="0">
      <sharedItems containsSemiMixedTypes="0" containsString="0" containsNumber="1" containsInteger="1" minValue="1001" maxValue="1012" count="6">
        <n v="1003"/>
        <n v="1001"/>
        <n v="1004"/>
        <n v="1012"/>
        <n v="1010"/>
        <n v="1007"/>
      </sharedItems>
    </cacheField>
    <cacheField name="DESCRIPCION" numFmtId="0">
      <sharedItems/>
    </cacheField>
    <cacheField name="CANTIDAD" numFmtId="0">
      <sharedItems containsSemiMixedTypes="0" containsString="0" containsNumber="1" containsInteger="1" minValue="1" maxValue="50" count="7">
        <n v="10"/>
        <n v="1"/>
        <n v="7"/>
        <n v="8"/>
        <n v="50"/>
        <n v="3"/>
        <n v="2"/>
      </sharedItems>
    </cacheField>
    <cacheField name="IMPORTE" numFmtId="0">
      <sharedItems containsSemiMixedTypes="0" containsString="0" containsNumber="1" containsInteger="1" minValue="263" maxValue="24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25-03-04T00:00:00"/>
    <x v="0"/>
    <s v="Cliente 1"/>
    <x v="0"/>
    <s v="Producto 3"/>
    <x v="0"/>
    <n v="4040"/>
  </r>
  <r>
    <d v="2025-03-04T00:00:00"/>
    <x v="0"/>
    <s v="Cliente 1"/>
    <x v="1"/>
    <s v="Producto 1"/>
    <x v="1"/>
    <n v="263"/>
  </r>
  <r>
    <d v="2025-03-04T00:00:00"/>
    <x v="1"/>
    <s v="Cliente 10"/>
    <x v="0"/>
    <s v="Producto 3"/>
    <x v="2"/>
    <n v="2828"/>
  </r>
  <r>
    <d v="2025-03-04T00:00:00"/>
    <x v="1"/>
    <s v="Cliente 10"/>
    <x v="2"/>
    <s v="Producto 4"/>
    <x v="3"/>
    <n v="2560"/>
  </r>
  <r>
    <d v="2025-03-05T00:00:00"/>
    <x v="2"/>
    <s v="Cliente 12"/>
    <x v="3"/>
    <s v="Producto 12"/>
    <x v="4"/>
    <n v="24350"/>
  </r>
  <r>
    <d v="2025-03-05T00:00:00"/>
    <x v="3"/>
    <s v="Cliente 12"/>
    <x v="4"/>
    <s v="Producto 10"/>
    <x v="5"/>
    <n v="336"/>
  </r>
  <r>
    <d v="2025-03-05T00:00:00"/>
    <x v="3"/>
    <s v="Cliente 12"/>
    <x v="0"/>
    <s v="Producto 3"/>
    <x v="6"/>
    <n v="808"/>
  </r>
  <r>
    <d v="2025-03-05T00:00:00"/>
    <x v="3"/>
    <s v="Cliente 12"/>
    <x v="5"/>
    <s v="Producto 7"/>
    <x v="2"/>
    <n v="20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776E5-3536-409C-8E5E-E818390139B7}" name="tdDetalle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3:C6" firstHeaderRow="1" firstDataRow="1" firstDataCol="3"/>
  <pivotFields count="7"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h="1" x="0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1"/>
        <item x="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2"/>
        <item x="3"/>
        <item x="0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3">
    <i>
      <x v="3"/>
      <x v="1"/>
      <x v="6"/>
    </i>
    <i r="1">
      <x v="4"/>
      <x v="5"/>
    </i>
    <i r="1">
      <x v="5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35" dataDxfId="34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33" dataCellStyle="Descripción"/>
    <tableColumn id="2" xr3:uid="{00000000-0010-0000-0000-000002000000}" name="DESCRIPCIÓN" dataDxfId="32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31" totalsRowDxfId="30" dataCellStyle="Descripción"/>
    <tableColumn id="3" xr3:uid="{00000000-0010-0000-0000-000003000000}" name="IMPORTE" totalsRowFunction="sum" dataDxfId="29" totalsRowDxfId="28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2F825B-83DD-4DF1-A6AC-954D1D35A0AA}" name="Factura6" displayName="Factura6" ref="B12:E24" totalsRowCount="1" headerRowDxfId="27" dataDxfId="26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6B063F89-7D72-4BA3-9E6B-EB76789EFDA3}" name="CÓDIGO" dataDxfId="25" dataCellStyle="Descripción">
      <calculatedColumnFormula>IF('Consulta Factura'!$E$4='TD-Consulta-Factura'!A4,'TD-Consulta-Factura'!B4,"")</calculatedColumnFormula>
    </tableColumn>
    <tableColumn id="2" xr3:uid="{509DF343-8396-4F5B-A6F8-562B194BE2EB}" name="DESCRIPCIÓN" dataDxfId="24" dataCellStyle="Descripción">
      <calculatedColumnFormula>IFERROR(VLOOKUP(Factura6[[#This Row],[CÓDIGO]],tblProductos[],2,), "")</calculatedColumnFormula>
    </tableColumn>
    <tableColumn id="4" xr3:uid="{0A2FE64A-47E7-4D57-9B9A-40B185BE219D}" name="CANTIDAD" totalsRowLabel=" TOTAL " dataDxfId="23" totalsRowDxfId="22" dataCellStyle="Descripción">
      <calculatedColumnFormula>IF('Consulta Factura'!$E$4='TD-Consulta-Factura'!A4, 'TD-Consulta-Factura'!C4,"")</calculatedColumnFormula>
    </tableColumn>
    <tableColumn id="3" xr3:uid="{71905E0C-45D9-442D-8994-A87C4A89B23C}" name="IMPORTE" totalsRowFunction="sum" dataDxfId="21" totalsRowDxfId="20" dataCellStyle="Moneda">
      <calculatedColumnFormula>IFERROR(Factura6[[#This Row],[CANTIDAD]]*VLOOKUP(Factura6[[#This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173563-2D48-48CE-B024-FF6B7DB994EF}" name="tblDetalle" displayName="tblDetalle" ref="A1:G9" totalsRowShown="0" headerRowDxfId="19" headerRowBorderDxfId="18" tableBorderDxfId="17">
  <autoFilter ref="A1:G9" xr:uid="{50173563-2D48-48CE-B024-FF6B7DB994EF}"/>
  <tableColumns count="7">
    <tableColumn id="1" xr3:uid="{BA39C4EA-6A21-4CE5-BBCA-F3B801029DC8}" name="FECHA" dataDxfId="16"/>
    <tableColumn id="2" xr3:uid="{6242A955-DA82-46A6-AEC9-016E57FA0543}" name="CONSECUTIVO"/>
    <tableColumn id="3" xr3:uid="{F95F131A-2983-471A-8E31-113D4D103067}" name="FACTURADO A"/>
    <tableColumn id="4" xr3:uid="{F87D7395-F5FF-4851-9BD1-C08D490AD1F0}" name="CODIGO"/>
    <tableColumn id="5" xr3:uid="{CCE101A4-8E9C-4289-9601-63956B435361}" name="DESCRIPCION"/>
    <tableColumn id="6" xr3:uid="{17BE0BDC-A501-4E9D-AB16-5C40E758925B}" name="CANTIDAD"/>
    <tableColumn id="7" xr3:uid="{7D468C46-BF37-4FBB-9901-DC62B293ADF0}" name="IMPORTE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15" headerRowBorderDxfId="14" tableBorderDxfId="13" totalsRowBorderDxfId="12">
  <autoFilter ref="A1:E15" xr:uid="{03A37DF5-B82A-4B72-AA51-D7B5873ED477}"/>
  <tableColumns count="5">
    <tableColumn id="1" xr3:uid="{6174EC7A-0FCA-489F-B3AE-4EC7B76F2547}" name="NOMBRE" dataDxfId="11"/>
    <tableColumn id="2" xr3:uid="{DE676BB1-098F-40F2-9DBD-C33FF41C9A8A}" name="NOMBRE DE LA EMPRESA" dataDxfId="10"/>
    <tableColumn id="3" xr3:uid="{D8AEC6D1-F974-4B2D-A5DF-E2E2DFFAC40E}" name="DIRECCION" dataDxfId="9"/>
    <tableColumn id="4" xr3:uid="{72AECE3D-DDC3-420D-996F-43B899A95BD1}" name="CIUDAD, ESTADO, CP" dataDxfId="8"/>
    <tableColumn id="5" xr3:uid="{ACBD6E94-2082-4BFD-BB62-7C95E40871BB}" name="TELEFONO" dataDxfId="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6" headerRowBorderDxfId="5" tableBorderDxfId="4" totalsRowBorderDxfId="3">
  <autoFilter ref="A1:C14" xr:uid="{714A6FBE-576D-464F-966E-A102EBF05A90}"/>
  <tableColumns count="3">
    <tableColumn id="1" xr3:uid="{200C2602-2494-4A03-B455-12F4CE877860}" name="CODIGO" dataDxfId="2"/>
    <tableColumn id="2" xr3:uid="{84E7AA73-4108-474A-B05D-33700A089366}" name="DESCRIPCION" dataDxfId="1"/>
    <tableColumn id="3" xr3:uid="{5CC43374-95DD-4BFB-AD80-41709AF17EA0}" name="P.UNI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zoomScaleNormal="100" workbookViewId="0">
      <selection activeCell="E4" sqref="E4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45721</v>
      </c>
    </row>
    <row r="4" spans="2:5" ht="32.25" customHeight="1" x14ac:dyDescent="0.2">
      <c r="B4" s="42" t="s">
        <v>11</v>
      </c>
      <c r="C4" s="43"/>
      <c r="D4" s="12" t="s">
        <v>12</v>
      </c>
      <c r="E4" s="13">
        <f ca="1">IF('Detalle de facturas'!I1="CONSECUTIVO",1,'Detalle de facturas'!I1+1)</f>
        <v>5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">
        <v>77</v>
      </c>
    </row>
    <row r="8" spans="2:5" ht="15" customHeight="1" x14ac:dyDescent="0.2">
      <c r="B8" t="str">
        <f>IFERROR(VLOOKUP(B7, tblClientes[], 2, ), "-")</f>
        <v>Empresa 12</v>
      </c>
    </row>
    <row r="9" spans="2:5" ht="15" customHeight="1" x14ac:dyDescent="0.2">
      <c r="B9" t="str">
        <f>IFERROR(VLOOKUP(B7, tblClientes[], 3, ), "-")</f>
        <v>Dirección 12</v>
      </c>
    </row>
    <row r="10" spans="2:5" ht="15" customHeight="1" x14ac:dyDescent="0.2">
      <c r="B10" t="str">
        <f>IFERROR(VLOOKUP(B7, tblClientes[], 4, ), "-")</f>
        <v>Ciudad 12</v>
      </c>
    </row>
    <row r="11" spans="2:5" ht="30" customHeight="1" x14ac:dyDescent="0.2">
      <c r="B11" s="3" t="str">
        <f>IFERROR(VLOOKUP(B7, tblClientes[], 5, ), "-")</f>
        <v>Teléfono 12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>
        <v>1010</v>
      </c>
      <c r="C13" s="29" t="str">
        <f>IFERROR(VLOOKUP(Factura[[#This Row],[CÓDIGO]],tblProductos[],2,), "")</f>
        <v>Producto 10</v>
      </c>
      <c r="D13" s="30">
        <v>3</v>
      </c>
      <c r="E13" s="33">
        <f>IFERROR(Factura[[#This Row],[CANTIDAD]]*VLOOKUP(Factura[[#This Row],[CÓDIGO]], tblProductos[], 3, ),"")</f>
        <v>336</v>
      </c>
    </row>
    <row r="14" spans="2:5" ht="30" customHeight="1" x14ac:dyDescent="0.2">
      <c r="B14" s="28">
        <v>1003</v>
      </c>
      <c r="C14" s="29" t="str">
        <f>IFERROR(VLOOKUP(Factura[[#This Row],[CÓDIGO]],tblProductos[],2,), "")</f>
        <v>Producto 3</v>
      </c>
      <c r="D14" s="30">
        <v>2</v>
      </c>
      <c r="E14" s="33">
        <f>IFERROR(Factura[[#This Row],[CANTIDAD]]*VLOOKUP(Factura[[#This Row],[CÓDIGO]], tblProductos[], 3, ),"")</f>
        <v>808</v>
      </c>
    </row>
    <row r="15" spans="2:5" ht="30" customHeight="1" x14ac:dyDescent="0.2">
      <c r="B15" s="28">
        <v>1007</v>
      </c>
      <c r="C15" s="29" t="str">
        <f>IFERROR(VLOOKUP(Factura[[#This Row],[CÓDIGO]],tblProductos[],2,), "")</f>
        <v>Producto 7</v>
      </c>
      <c r="D15" s="30">
        <v>7</v>
      </c>
      <c r="E15" s="33">
        <f>IFERROR(Factura[[#This Row],[CANTIDAD]]*VLOOKUP(Factura[[#This Row],[CÓDIGO]], tblProductos[], 3, ),"")</f>
        <v>2079</v>
      </c>
    </row>
    <row r="16" spans="2:5" ht="30" customHeight="1" x14ac:dyDescent="0.2">
      <c r="B16" s="28"/>
      <c r="C16" s="29" t="str">
        <f>IFERROR(VLOOKUP(Factura[[#This Row],[CÓDIGO]],tblProductos[],2,), "")</f>
        <v/>
      </c>
      <c r="D16" s="30"/>
      <c r="E16" s="33" t="str">
        <f>IFERROR(Factura[[#This Row],[CANTIDAD]]*VLOOKUP(Factura[[#This Row],[CÓDIGO]], tblProductos[], 3, ),"")</f>
        <v/>
      </c>
    </row>
    <row r="17" spans="2:5" ht="30" customHeight="1" x14ac:dyDescent="0.2">
      <c r="B17" s="28"/>
      <c r="C17" s="29" t="str">
        <f>IFERROR(VLOOKUP(Factura[[#This Row],[CÓDIGO]],tblProductos[],2,), "")</f>
        <v/>
      </c>
      <c r="D17" s="30"/>
      <c r="E17" s="33" t="str">
        <f>IFERROR(Factura[[#This Row],[CANTIDAD]]*VLOOKUP(Factura[[#This Row],[CÓDIGO]], tblProductos[], 3, ),"")</f>
        <v/>
      </c>
    </row>
    <row r="18" spans="2:5" ht="30" customHeight="1" x14ac:dyDescent="0.2">
      <c r="B18" s="28"/>
      <c r="C18" s="29" t="str">
        <f>IFERROR(VLOOKUP(Factura[[#This Row],[CÓDIGO]],tblProductos[],2,), "")</f>
        <v/>
      </c>
      <c r="D18" s="30"/>
      <c r="E18" s="33" t="str">
        <f>IFERROR(Factura[[#This Row],[CANTIDAD]]*VLOOKUP(Factura[[#This Row],[CÓDIGO]], tblProductos[], 3, ),"")</f>
        <v/>
      </c>
    </row>
    <row r="19" spans="2:5" ht="30" customHeight="1" x14ac:dyDescent="0.2">
      <c r="B19" s="28"/>
      <c r="C19" s="29" t="str">
        <f>IFERROR(VLOOKUP(Factura[[#This Row],[CÓDIGO]],tblProductos[],2,), "")</f>
        <v/>
      </c>
      <c r="D19" s="30"/>
      <c r="E19" s="33" t="str">
        <f>IFERROR(Factura[[#This Row],[CANTIDAD]]*VLOOKUP(Factura[[#This Row],[CÓDIGO]], tblProductos[], 3, ),"")</f>
        <v/>
      </c>
    </row>
    <row r="20" spans="2:5" ht="30" customHeight="1" x14ac:dyDescent="0.2">
      <c r="B20" s="28"/>
      <c r="C20" s="29" t="str">
        <f>IFERROR(VLOOKUP(Factura[[#This Row],[CÓDIGO]],tblProductos[],2,), "")</f>
        <v/>
      </c>
      <c r="D20" s="30"/>
      <c r="E20" s="33" t="str">
        <f>IFERROR(Factura[[#This Row],[CANTIDAD]]*VLOOKUP(Factura[[#This Row],[CÓDIGO]], tblProductos[], 3, ),"")</f>
        <v/>
      </c>
    </row>
    <row r="21" spans="2:5" ht="30" customHeight="1" x14ac:dyDescent="0.2">
      <c r="B21" s="28"/>
      <c r="C21" s="29" t="str">
        <f>IFERROR(VLOOKUP(Factura[[#This Row],[CÓDIGO]],tblProductos[],2,), "")</f>
        <v/>
      </c>
      <c r="D21" s="30"/>
      <c r="E21" s="33" t="str">
        <f>IFERROR(Factura[[#This Row],[CANTIDAD]]*VLOOKUP(Factura[[#This Row],[CÓDIGO]], tblProductos[], 3, ),"")</f>
        <v/>
      </c>
    </row>
    <row r="22" spans="2:5" ht="30" customHeight="1" x14ac:dyDescent="0.2">
      <c r="B22" s="28"/>
      <c r="C22" s="29" t="str">
        <f>IFERROR(VLOOKUP(Factura[[#This Row],[CÓDIGO]],tblProductos[],2,), "")</f>
        <v/>
      </c>
      <c r="D22" s="30"/>
      <c r="E22" s="33" t="str">
        <f>IFERROR(Factura[[#This Row],[CANTIDAD]]*VLOOKUP(Factura[[#This Row],[CÓDIGO]], tblProductos[], 3, ),"")</f>
        <v/>
      </c>
    </row>
    <row r="23" spans="2:5" ht="30" customHeight="1" x14ac:dyDescent="0.2">
      <c r="B23" s="28"/>
      <c r="C23" s="29" t="str">
        <f>IFERROR(VLOOKUP(Factura[[#This Row],[CÓDIGO]],tblProductos[],2,), "")</f>
        <v/>
      </c>
      <c r="D23" s="30"/>
      <c r="E23" s="33" t="str">
        <f>IFERROR(Factura[[#This Row],[CANTIDAD]]*VLOOKUP(Factura[[#This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SUBTOTAL(109,Factura[IMPORTE])</f>
        <v>3223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8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73C3-58C9-4E31-9DB8-4C8E59057921}">
  <sheetPr codeName="Hoja6"/>
  <dimension ref="A3:C6"/>
  <sheetViews>
    <sheetView tabSelected="1" workbookViewId="0">
      <selection activeCell="C3" sqref="C3"/>
    </sheetView>
  </sheetViews>
  <sheetFormatPr baseColWidth="10" defaultRowHeight="14.25" x14ac:dyDescent="0.2"/>
  <cols>
    <col min="1" max="1" width="11.25" bestFit="1" customWidth="1"/>
    <col min="2" max="2" width="10.625" bestFit="1" customWidth="1"/>
    <col min="3" max="3" width="12.375" bestFit="1" customWidth="1"/>
  </cols>
  <sheetData>
    <row r="3" spans="1:3" ht="28.5" x14ac:dyDescent="0.2">
      <c r="A3" s="35" t="s">
        <v>109</v>
      </c>
      <c r="B3" s="35" t="s">
        <v>92</v>
      </c>
      <c r="C3" s="35" t="s">
        <v>10</v>
      </c>
    </row>
    <row r="4" spans="1:3" x14ac:dyDescent="0.2">
      <c r="A4">
        <v>4</v>
      </c>
      <c r="B4">
        <v>1003</v>
      </c>
      <c r="C4">
        <v>2</v>
      </c>
    </row>
    <row r="5" spans="1:3" x14ac:dyDescent="0.2">
      <c r="A5">
        <v>4</v>
      </c>
      <c r="B5">
        <v>1010</v>
      </c>
      <c r="C5">
        <v>3</v>
      </c>
    </row>
    <row r="6" spans="1:3" x14ac:dyDescent="0.2">
      <c r="A6">
        <v>4</v>
      </c>
      <c r="B6">
        <v>1007</v>
      </c>
      <c r="C6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A791-F0C9-4FB9-ACB1-4A92B8A75387}">
  <sheetPr codeName="Hoja5">
    <tabColor theme="0" tint="-0.249977111117893"/>
    <pageSetUpPr fitToPage="1"/>
  </sheetPr>
  <dimension ref="B1:E28"/>
  <sheetViews>
    <sheetView showGridLines="0" zoomScaleNormal="100" workbookViewId="0">
      <selection activeCell="D14" sqref="D14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45721</v>
      </c>
    </row>
    <row r="4" spans="2:5" ht="32.25" customHeight="1" x14ac:dyDescent="0.2">
      <c r="B4" s="42" t="s">
        <v>11</v>
      </c>
      <c r="C4" s="43"/>
      <c r="D4" s="12" t="s">
        <v>12</v>
      </c>
      <c r="E4" s="36">
        <v>2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tr">
        <f>VLOOKUP(E4,tblDetalle[[CONSECUTIVO]:[IMPORTE]],2,TRUE)</f>
        <v>Cliente 10</v>
      </c>
    </row>
    <row r="8" spans="2:5" ht="15" customHeight="1" x14ac:dyDescent="0.2">
      <c r="B8" t="str">
        <f>IFERROR(VLOOKUP(B7, tblClientes[], 2, ), "-")</f>
        <v>Empresa 10</v>
      </c>
    </row>
    <row r="9" spans="2:5" ht="15" customHeight="1" x14ac:dyDescent="0.2">
      <c r="B9" t="str">
        <f>IFERROR(VLOOKUP(B7, tblClientes[], 3, ), "-")</f>
        <v>Dirección 10</v>
      </c>
    </row>
    <row r="10" spans="2:5" ht="15" customHeight="1" x14ac:dyDescent="0.2">
      <c r="B10" t="str">
        <f>IFERROR(VLOOKUP(B7, tblClientes[], 4, ), "-")</f>
        <v>Ciudad 10</v>
      </c>
    </row>
    <row r="11" spans="2:5" ht="30" customHeight="1" x14ac:dyDescent="0.2">
      <c r="B11" s="3" t="str">
        <f>IFERROR(VLOOKUP(B7, tblClientes[], 5, ), "-")</f>
        <v>Teléfono 10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 t="str">
        <f>IF('Consulta Factura'!$E$4='TD-Consulta-Factura'!A4,'TD-Consulta-Factura'!B4,"")</f>
        <v/>
      </c>
      <c r="C13" s="29" t="str">
        <f>IFERROR(VLOOKUP(Factura6[[#This Row],[CÓDIGO]],tblProductos[],2,), "")</f>
        <v/>
      </c>
      <c r="D13" s="30" t="str">
        <f>IF('Consulta Factura'!$E$4='TD-Consulta-Factura'!A4, 'TD-Consulta-Factura'!C4,"")</f>
        <v/>
      </c>
      <c r="E13" s="33" t="str">
        <f>IFERROR(Factura6[[#This Row],[CANTIDAD]]*VLOOKUP(Factura6[[#This Row],[CÓDIGO]], tblProductos[], 3, ),"")</f>
        <v/>
      </c>
    </row>
    <row r="14" spans="2:5" ht="30" customHeight="1" x14ac:dyDescent="0.2">
      <c r="B14" s="28" t="str">
        <f>IF('Consulta Factura'!$E$4='TD-Consulta-Factura'!A5,'TD-Consulta-Factura'!B5,"")</f>
        <v/>
      </c>
      <c r="C14" s="29" t="str">
        <f>IFERROR(VLOOKUP(Factura6[[#This Row],[CÓDIGO]],tblProductos[],2,), "")</f>
        <v/>
      </c>
      <c r="D14" s="30" t="str">
        <f>IF('Consulta Factura'!$E$4='TD-Consulta-Factura'!A5, 'TD-Consulta-Factura'!C5,"")</f>
        <v/>
      </c>
      <c r="E14" s="33" t="str">
        <f>IFERROR(Factura6[[#This Row],[CANTIDAD]]*VLOOKUP(Factura6[[#This Row],[CÓDIGO]], tblProductos[], 3, ),"")</f>
        <v/>
      </c>
    </row>
    <row r="15" spans="2:5" ht="30" customHeight="1" x14ac:dyDescent="0.2">
      <c r="B15" s="28" t="str">
        <f>IF('Consulta Factura'!$E$4='TD-Consulta-Factura'!A6,'TD-Consulta-Factura'!B6,"")</f>
        <v/>
      </c>
      <c r="C15" s="29" t="str">
        <f>IFERROR(VLOOKUP(Factura6[[#This Row],[CÓDIGO]],tblProductos[],2,), "")</f>
        <v/>
      </c>
      <c r="D15" s="30" t="str">
        <f>IF('Consulta Factura'!$E$4='TD-Consulta-Factura'!A6, 'TD-Consulta-Factura'!C6,"")</f>
        <v/>
      </c>
      <c r="E15" s="33" t="str">
        <f>IFERROR(Factura6[[#This Row],[CANTIDAD]]*VLOOKUP(Factura6[[#This Row],[CÓDIGO]], tblProductos[], 3, ),"")</f>
        <v/>
      </c>
    </row>
    <row r="16" spans="2:5" ht="30" customHeight="1" x14ac:dyDescent="0.2">
      <c r="B16" s="28" t="str">
        <f>IF('Consulta Factura'!$E$4='TD-Consulta-Factura'!A7,'TD-Consulta-Factura'!B7,"")</f>
        <v/>
      </c>
      <c r="C16" s="29" t="str">
        <f>IFERROR(VLOOKUP(Factura6[[#This Row],[CÓDIGO]],tblProductos[],2,), "")</f>
        <v/>
      </c>
      <c r="D16" s="30" t="str">
        <f>IF('Consulta Factura'!$E$4='TD-Consulta-Factura'!A7, 'TD-Consulta-Factura'!C7,"")</f>
        <v/>
      </c>
      <c r="E16" s="33" t="str">
        <f>IFERROR(Factura6[[#This Row],[CANTIDAD]]*VLOOKUP(Factura6[[#This Row],[CÓDIGO]], tblProductos[], 3, ),"")</f>
        <v/>
      </c>
    </row>
    <row r="17" spans="2:5" ht="30" customHeight="1" x14ac:dyDescent="0.2">
      <c r="B17" s="28" t="str">
        <f>IF('Consulta Factura'!$E$4='TD-Consulta-Factura'!A8,'TD-Consulta-Factura'!B8,"")</f>
        <v/>
      </c>
      <c r="C17" s="29" t="str">
        <f>IFERROR(VLOOKUP(Factura6[[#This Row],[CÓDIGO]],tblProductos[],2,), "")</f>
        <v/>
      </c>
      <c r="D17" s="30" t="str">
        <f>IF('Consulta Factura'!$E$4='TD-Consulta-Factura'!A8, 'TD-Consulta-Factura'!C8,"")</f>
        <v/>
      </c>
      <c r="E17" s="33" t="str">
        <f>IFERROR(Factura6[[#This Row],[CANTIDAD]]*VLOOKUP(Factura6[[#This Row],[CÓDIGO]], tblProductos[], 3, ),"")</f>
        <v/>
      </c>
    </row>
    <row r="18" spans="2:5" ht="30" customHeight="1" x14ac:dyDescent="0.2">
      <c r="B18" s="28" t="str">
        <f>IF('Consulta Factura'!$E$4='TD-Consulta-Factura'!A9,'TD-Consulta-Factura'!B9,"")</f>
        <v/>
      </c>
      <c r="C18" s="29" t="str">
        <f>IFERROR(VLOOKUP(Factura6[[#This Row],[CÓDIGO]],tblProductos[],2,), "")</f>
        <v/>
      </c>
      <c r="D18" s="30" t="str">
        <f>IF('Consulta Factura'!$E$4='TD-Consulta-Factura'!A9, 'TD-Consulta-Factura'!C9,"")</f>
        <v/>
      </c>
      <c r="E18" s="33" t="str">
        <f>IFERROR(Factura6[[#This Row],[CANTIDAD]]*VLOOKUP(Factura6[[#This Row],[CÓDIGO]], tblProductos[], 3, ),"")</f>
        <v/>
      </c>
    </row>
    <row r="19" spans="2:5" ht="30" customHeight="1" x14ac:dyDescent="0.2">
      <c r="B19" s="28" t="str">
        <f>IF('Consulta Factura'!$E$4='TD-Consulta-Factura'!A10,'TD-Consulta-Factura'!B10,"")</f>
        <v/>
      </c>
      <c r="C19" s="29" t="str">
        <f>IFERROR(VLOOKUP(Factura6[[#This Row],[CÓDIGO]],tblProductos[],2,), "")</f>
        <v/>
      </c>
      <c r="D19" s="30" t="str">
        <f>IF('Consulta Factura'!$E$4='TD-Consulta-Factura'!A10, 'TD-Consulta-Factura'!C10,"")</f>
        <v/>
      </c>
      <c r="E19" s="33" t="str">
        <f>IFERROR(Factura6[[#This Row],[CANTIDAD]]*VLOOKUP(Factura6[[#This Row],[CÓDIGO]], tblProductos[], 3, ),"")</f>
        <v/>
      </c>
    </row>
    <row r="20" spans="2:5" ht="30" customHeight="1" x14ac:dyDescent="0.2">
      <c r="B20" s="28" t="str">
        <f>IF('Consulta Factura'!$E$4='TD-Consulta-Factura'!A11,'TD-Consulta-Factura'!B11,"")</f>
        <v/>
      </c>
      <c r="C20" s="29" t="str">
        <f>IFERROR(VLOOKUP(Factura6[[#This Row],[CÓDIGO]],tblProductos[],2,), "")</f>
        <v/>
      </c>
      <c r="D20" s="30" t="str">
        <f>IF('Consulta Factura'!$E$4='TD-Consulta-Factura'!A11, 'TD-Consulta-Factura'!C11,"")</f>
        <v/>
      </c>
      <c r="E20" s="33" t="str">
        <f>IFERROR(Factura6[[#This Row],[CANTIDAD]]*VLOOKUP(Factura6[[#This Row],[CÓDIGO]], tblProductos[], 3, ),"")</f>
        <v/>
      </c>
    </row>
    <row r="21" spans="2:5" ht="30" customHeight="1" x14ac:dyDescent="0.2">
      <c r="B21" s="28" t="str">
        <f>IF('Consulta Factura'!$E$4='TD-Consulta-Factura'!A12,'TD-Consulta-Factura'!B12,"")</f>
        <v/>
      </c>
      <c r="C21" s="29" t="str">
        <f>IFERROR(VLOOKUP(Factura6[[#This Row],[CÓDIGO]],tblProductos[],2,), "")</f>
        <v/>
      </c>
      <c r="D21" s="30" t="str">
        <f>IF('Consulta Factura'!$E$4='TD-Consulta-Factura'!A12, 'TD-Consulta-Factura'!C12,"")</f>
        <v/>
      </c>
      <c r="E21" s="33" t="str">
        <f>IFERROR(Factura6[[#This Row],[CANTIDAD]]*VLOOKUP(Factura6[[#This Row],[CÓDIGO]], tblProductos[], 3, ),"")</f>
        <v/>
      </c>
    </row>
    <row r="22" spans="2:5" ht="30" customHeight="1" x14ac:dyDescent="0.2">
      <c r="B22" s="28" t="str">
        <f>IF('Consulta Factura'!$E$4='TD-Consulta-Factura'!A13,'TD-Consulta-Factura'!B13,"")</f>
        <v/>
      </c>
      <c r="C22" s="29" t="str">
        <f>IFERROR(VLOOKUP(Factura6[[#This Row],[CÓDIGO]],tblProductos[],2,), "")</f>
        <v/>
      </c>
      <c r="D22" s="30" t="str">
        <f>IF('Consulta Factura'!$E$4='TD-Consulta-Factura'!A13, 'TD-Consulta-Factura'!C13,"")</f>
        <v/>
      </c>
      <c r="E22" s="33" t="str">
        <f>IFERROR(Factura6[[#This Row],[CANTIDAD]]*VLOOKUP(Factura6[[#This Row],[CÓDIGO]], tblProductos[], 3, ),"")</f>
        <v/>
      </c>
    </row>
    <row r="23" spans="2:5" ht="30" customHeight="1" x14ac:dyDescent="0.2">
      <c r="B23" s="28" t="str">
        <f>IF('Consulta Factura'!$E$4='TD-Consulta-Factura'!A14,'TD-Consulta-Factura'!B14,"")</f>
        <v/>
      </c>
      <c r="C23" s="29" t="str">
        <f>IFERROR(VLOOKUP(Factura6[[#This Row],[CÓDIGO]],tblProductos[],2,), "")</f>
        <v/>
      </c>
      <c r="D23" s="30" t="str">
        <f>IF('Consulta Factura'!$E$4='TD-Consulta-Factura'!A14, 'TD-Consulta-Factura'!C14,"")</f>
        <v/>
      </c>
      <c r="E23" s="33" t="str">
        <f>IFERROR(Factura6[[#This Row],[CANTIDAD]]*VLOOKUP(Factura6[[#This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SUBTOTAL(109,Factura6[IMPORTE])</f>
        <v>0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8:E28"/>
    <mergeCell ref="B1:C1"/>
    <mergeCell ref="D1:E1"/>
    <mergeCell ref="B2:C2"/>
    <mergeCell ref="B4:C4"/>
    <mergeCell ref="B26:E26"/>
    <mergeCell ref="B27:E27"/>
  </mergeCells>
  <dataValidations count="22">
    <dataValidation allowBlank="1" showInputMessage="1" showErrorMessage="1" prompt="Escriba la fecha de la factura en la celda de la derecha." sqref="D3" xr:uid="{F4886F3C-C863-4F3B-9C0D-26752DEA30DA}"/>
    <dataValidation allowBlank="1" showInputMessage="1" showErrorMessage="1" prompt="Escriba el número de factura en la celda de la derecha." sqref="D4" xr:uid="{5C0A36CA-92DE-4621-AD0B-AC8D321AFD35}"/>
    <dataValidation allowBlank="1" showInputMessage="1" showErrorMessage="1" prompt="Escriba la descripción del producto de la factura en la celda de la derecha." sqref="D5" xr:uid="{35839811-31BD-4506-8AE9-F93D4997BD05}"/>
    <dataValidation allowBlank="1" showInputMessage="1" showErrorMessage="1" prompt="El título de esta hoja de cálculo se muestra en esta celda. Escriba los detalles de la factura de la celda C3 a la D5." sqref="D1" xr:uid="{AD9EE03D-8283-48D5-97ED-9F433AFC4039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6CBC3FD9-D2BE-4331-8B90-4F8B931C299E}"/>
    <dataValidation allowBlank="1" showInputMessage="1" showErrorMessage="1" prompt="Escriba el nombre de la empresa que factura en esta celda y el lema en la celda siguiente" sqref="B1" xr:uid="{68F8D99E-E03E-44C5-86E9-D21C38C14A58}"/>
    <dataValidation allowBlank="1" showInputMessage="1" showErrorMessage="1" prompt="Escriba la fecha de la factura en esta celda." sqref="E3" xr:uid="{9CADE890-BB8A-42D1-A490-69FD8B2F50FB}"/>
    <dataValidation allowBlank="1" showInputMessage="1" showErrorMessage="1" prompt="Escriba el número de factura en esta celda." sqref="E4" xr:uid="{1C1A6C05-871F-4FAE-A2FC-4048B752EF31}"/>
    <dataValidation allowBlank="1" showInputMessage="1" showErrorMessage="1" prompt="Escriba la descripción del producto de la factura en esta celda." sqref="E5" xr:uid="{6788AB57-8693-4915-A6D8-0B135D7ADBE1}"/>
    <dataValidation allowBlank="1" showInputMessage="1" showErrorMessage="1" prompt="Escriba el lema de la empresa en esta celda y la dirección de la empresa en las celdas siguientes." sqref="B2" xr:uid="{0781D9C1-4DCA-4110-97FB-4F275FD31DE6}"/>
    <dataValidation allowBlank="1" showInputMessage="1" showErrorMessage="1" prompt="Escriba la ciudad, el estado o la provincia y el código postal en esta celda." sqref="B4" xr:uid="{E01B94C5-7725-470B-8AD1-DFAF9B4E46D6}"/>
    <dataValidation allowBlank="1" showInputMessage="1" showErrorMessage="1" prompt="Escriba en esta celda los números de teléfono y fax entre corchetes." sqref="B5" xr:uid="{97CF4952-8F24-4DC3-9E98-8352902FDDD4}"/>
    <dataValidation allowBlank="1" showInputMessage="1" showErrorMessage="1" prompt="Escriba el nombre del cliente, el nombre de la empresa, la dirección y el número de teléfono en las celdas siguientes." sqref="B6" xr:uid="{32CB4394-CC4B-4D4D-813A-AB31D59D6CB5}"/>
    <dataValidation allowBlank="1" showInputMessage="1" showErrorMessage="1" prompt="Escriba el número de teléfono del cliente en esta celda." sqref="B11" xr:uid="{FAA69C6A-BC91-4E07-B301-8FF4EDE7440D}"/>
    <dataValidation allowBlank="1" showInputMessage="1" showErrorMessage="1" prompt="Escriba la ciudad, el estado y el código postal del cliente en esta celda." sqref="B10" xr:uid="{45359C07-C04A-4921-A10B-F59A70FD4145}"/>
    <dataValidation allowBlank="1" showInputMessage="1" showErrorMessage="1" prompt="Escriba la dirección del cliente en esta celda." sqref="B9" xr:uid="{5724E810-EC04-462B-9D9D-AE24BF8030C7}"/>
    <dataValidation allowBlank="1" showInputMessage="1" showErrorMessage="1" prompt="Escriba el nombre de la empresa en esta celda." sqref="B8" xr:uid="{DC4DF3EA-81D9-4E1B-934B-9252156C08A5}"/>
    <dataValidation allowBlank="1" showInputMessage="1" showErrorMessage="1" prompt="Escriba la descripción de la factura en la columna con este encabezado." sqref="B12" xr:uid="{C18D4685-9D1E-4D9F-A25F-B38E1A531C28}"/>
    <dataValidation allowBlank="1" showInputMessage="1" showErrorMessage="1" prompt="Escriba el campo personalizado en este encabezado y los datos correspondientes en la columna con este encabezado." sqref="C12:D12" xr:uid="{3B2E23B4-968D-498B-AFB5-AE269D92B712}"/>
    <dataValidation allowBlank="1" showInputMessage="1" showErrorMessage="1" prompt="Escriba el importe en la columna con este encabezado para cada descripción de la columna B. La última celda de la tabla contiene el importe adeudado." sqref="E12" xr:uid="{B5D07B29-9A8A-4F23-BFAF-101039D1F094}"/>
    <dataValidation allowBlank="1" showInputMessage="1" showErrorMessage="1" prompt="Escriba en esta celda el nombre de contacto, número de teléfono y correo electrónico de la empresa que factura." sqref="B27:E27" xr:uid="{66CD4811-A796-4E31-874F-B0D6CC4104D1}"/>
    <dataValidation allowBlank="1" showInputMessage="1" showErrorMessage="1" prompt="El nombre de la empresa se anexa automáticamente en esta celda" sqref="B26" xr:uid="{18DBC84C-93B6-42F8-9D62-4442AE7227E3}"/>
  </dataValidations>
  <printOptions horizontalCentered="1"/>
  <pageMargins left="0.5" right="0.5" top="0.5" bottom="0.5" header="0.5" footer="0.5"/>
  <pageSetup paperSize="9" scale="8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24"/>
  <sheetViews>
    <sheetView workbookViewId="0">
      <selection activeCell="C9" sqref="C9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10" max="10" width="27.625" customWidth="1"/>
  </cols>
  <sheetData>
    <row r="1" spans="1:10" ht="28.5" x14ac:dyDescent="0.2">
      <c r="A1" s="25" t="s">
        <v>108</v>
      </c>
      <c r="B1" s="25" t="s">
        <v>109</v>
      </c>
      <c r="C1" s="25" t="s">
        <v>110</v>
      </c>
      <c r="D1" s="25" t="s">
        <v>92</v>
      </c>
      <c r="E1" s="25" t="s">
        <v>93</v>
      </c>
      <c r="F1" s="25" t="s">
        <v>10</v>
      </c>
      <c r="G1" s="25" t="s">
        <v>7</v>
      </c>
      <c r="I1" s="31">
        <f t="array" aca="1" ref="I1" ca="1">OFFSET(B1,COUNTA(A:A)-1,0,COUNTA(A:A),1)</f>
        <v>4</v>
      </c>
      <c r="J1" s="31" t="s">
        <v>111</v>
      </c>
    </row>
    <row r="2" spans="1:10" x14ac:dyDescent="0.2">
      <c r="A2" s="32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</row>
    <row r="3" spans="1:10" x14ac:dyDescent="0.2">
      <c r="A3" s="32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</row>
    <row r="4" spans="1:10" x14ac:dyDescent="0.2">
      <c r="A4" s="32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</row>
    <row r="5" spans="1:10" x14ac:dyDescent="0.2">
      <c r="A5" s="32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</row>
    <row r="6" spans="1:10" x14ac:dyDescent="0.2">
      <c r="A6" s="32">
        <v>45721</v>
      </c>
      <c r="B6">
        <v>3</v>
      </c>
      <c r="C6" t="s">
        <v>77</v>
      </c>
      <c r="D6">
        <v>1012</v>
      </c>
      <c r="E6" t="s">
        <v>106</v>
      </c>
      <c r="F6">
        <v>50</v>
      </c>
      <c r="G6">
        <v>24350</v>
      </c>
    </row>
    <row r="7" spans="1:10" x14ac:dyDescent="0.2">
      <c r="A7" s="32">
        <v>45721</v>
      </c>
      <c r="B7">
        <v>4</v>
      </c>
      <c r="C7" t="s">
        <v>77</v>
      </c>
      <c r="D7">
        <v>1010</v>
      </c>
      <c r="E7" t="s">
        <v>104</v>
      </c>
      <c r="F7">
        <v>3</v>
      </c>
      <c r="G7">
        <v>336</v>
      </c>
    </row>
    <row r="8" spans="1:10" x14ac:dyDescent="0.2">
      <c r="A8" s="32">
        <v>45721</v>
      </c>
      <c r="B8">
        <v>4</v>
      </c>
      <c r="C8" t="s">
        <v>77</v>
      </c>
      <c r="D8">
        <v>1003</v>
      </c>
      <c r="E8" t="s">
        <v>97</v>
      </c>
      <c r="F8">
        <v>2</v>
      </c>
      <c r="G8">
        <v>808</v>
      </c>
    </row>
    <row r="9" spans="1:10" x14ac:dyDescent="0.2">
      <c r="A9" s="32">
        <v>45721</v>
      </c>
      <c r="B9">
        <v>4</v>
      </c>
      <c r="C9" t="s">
        <v>77</v>
      </c>
      <c r="D9">
        <v>1007</v>
      </c>
      <c r="E9" t="s">
        <v>101</v>
      </c>
      <c r="F9">
        <v>7</v>
      </c>
      <c r="G9">
        <v>2079</v>
      </c>
    </row>
    <row r="10" spans="1:10" x14ac:dyDescent="0.2">
      <c r="A10" s="32"/>
    </row>
    <row r="11" spans="1:10" x14ac:dyDescent="0.2">
      <c r="A11" s="32"/>
    </row>
    <row r="12" spans="1:10" x14ac:dyDescent="0.2">
      <c r="A12" s="32"/>
    </row>
    <row r="13" spans="1:10" x14ac:dyDescent="0.2">
      <c r="A13" s="32"/>
    </row>
    <row r="14" spans="1:10" x14ac:dyDescent="0.2">
      <c r="A14" s="32"/>
    </row>
    <row r="15" spans="1:10" x14ac:dyDescent="0.2">
      <c r="A15" s="32"/>
    </row>
    <row r="16" spans="1:10" x14ac:dyDescent="0.2">
      <c r="A16" s="32"/>
    </row>
    <row r="17" spans="1:1" x14ac:dyDescent="0.2">
      <c r="A17" s="32"/>
    </row>
    <row r="18" spans="1:1" x14ac:dyDescent="0.2">
      <c r="A18" s="32"/>
    </row>
    <row r="19" spans="1:1" x14ac:dyDescent="0.2">
      <c r="A19" s="32"/>
    </row>
    <row r="20" spans="1:1" x14ac:dyDescent="0.2">
      <c r="A20" s="32"/>
    </row>
    <row r="21" spans="1:1" x14ac:dyDescent="0.2">
      <c r="A21" s="32"/>
    </row>
    <row r="22" spans="1:1" x14ac:dyDescent="0.2">
      <c r="A22" s="32"/>
    </row>
    <row r="23" spans="1:1" x14ac:dyDescent="0.2">
      <c r="A23" s="32"/>
    </row>
    <row r="24" spans="1:1" x14ac:dyDescent="0.2">
      <c r="A24" s="3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5" t="s">
        <v>17</v>
      </c>
      <c r="B1" s="16" t="s">
        <v>18</v>
      </c>
      <c r="C1" s="16" t="s">
        <v>19</v>
      </c>
      <c r="D1" s="16" t="s">
        <v>20</v>
      </c>
      <c r="E1" s="17" t="s">
        <v>21</v>
      </c>
    </row>
    <row r="2" spans="1:5" x14ac:dyDescent="0.2">
      <c r="A2" s="18" t="s">
        <v>22</v>
      </c>
      <c r="B2" s="19" t="s">
        <v>23</v>
      </c>
      <c r="C2" s="19" t="s">
        <v>24</v>
      </c>
      <c r="D2" s="19" t="s">
        <v>25</v>
      </c>
      <c r="E2" s="20" t="s">
        <v>26</v>
      </c>
    </row>
    <row r="3" spans="1:5" x14ac:dyDescent="0.2">
      <c r="A3" s="18" t="s">
        <v>27</v>
      </c>
      <c r="B3" s="19" t="s">
        <v>28</v>
      </c>
      <c r="C3" s="19" t="s">
        <v>29</v>
      </c>
      <c r="D3" s="19" t="s">
        <v>30</v>
      </c>
      <c r="E3" s="20" t="s">
        <v>31</v>
      </c>
    </row>
    <row r="4" spans="1:5" x14ac:dyDescent="0.2">
      <c r="A4" s="18" t="s">
        <v>32</v>
      </c>
      <c r="B4" s="19" t="s">
        <v>33</v>
      </c>
      <c r="C4" s="19" t="s">
        <v>34</v>
      </c>
      <c r="D4" s="19" t="s">
        <v>35</v>
      </c>
      <c r="E4" s="20" t="s">
        <v>36</v>
      </c>
    </row>
    <row r="5" spans="1:5" x14ac:dyDescent="0.2">
      <c r="A5" s="18" t="s">
        <v>37</v>
      </c>
      <c r="B5" s="19" t="s">
        <v>38</v>
      </c>
      <c r="C5" s="19" t="s">
        <v>39</v>
      </c>
      <c r="D5" s="19" t="s">
        <v>40</v>
      </c>
      <c r="E5" s="20" t="s">
        <v>41</v>
      </c>
    </row>
    <row r="6" spans="1:5" x14ac:dyDescent="0.2">
      <c r="A6" s="18" t="s">
        <v>42</v>
      </c>
      <c r="B6" s="19" t="s">
        <v>43</v>
      </c>
      <c r="C6" s="19" t="s">
        <v>44</v>
      </c>
      <c r="D6" s="19" t="s">
        <v>45</v>
      </c>
      <c r="E6" s="20" t="s">
        <v>46</v>
      </c>
    </row>
    <row r="7" spans="1:5" x14ac:dyDescent="0.2">
      <c r="A7" s="18" t="s">
        <v>47</v>
      </c>
      <c r="B7" s="19" t="s">
        <v>48</v>
      </c>
      <c r="C7" s="19" t="s">
        <v>49</v>
      </c>
      <c r="D7" s="19" t="s">
        <v>50</v>
      </c>
      <c r="E7" s="20" t="s">
        <v>51</v>
      </c>
    </row>
    <row r="8" spans="1:5" x14ac:dyDescent="0.2">
      <c r="A8" s="18" t="s">
        <v>52</v>
      </c>
      <c r="B8" s="19" t="s">
        <v>53</v>
      </c>
      <c r="C8" s="19" t="s">
        <v>54</v>
      </c>
      <c r="D8" s="19" t="s">
        <v>55</v>
      </c>
      <c r="E8" s="20" t="s">
        <v>56</v>
      </c>
    </row>
    <row r="9" spans="1:5" x14ac:dyDescent="0.2">
      <c r="A9" s="18" t="s">
        <v>57</v>
      </c>
      <c r="B9" s="19" t="s">
        <v>58</v>
      </c>
      <c r="C9" s="19" t="s">
        <v>59</v>
      </c>
      <c r="D9" s="19" t="s">
        <v>60</v>
      </c>
      <c r="E9" s="20" t="s">
        <v>61</v>
      </c>
    </row>
    <row r="10" spans="1:5" x14ac:dyDescent="0.2">
      <c r="A10" s="18" t="s">
        <v>62</v>
      </c>
      <c r="B10" s="19" t="s">
        <v>63</v>
      </c>
      <c r="C10" s="19" t="s">
        <v>64</v>
      </c>
      <c r="D10" s="19" t="s">
        <v>65</v>
      </c>
      <c r="E10" s="20" t="s">
        <v>66</v>
      </c>
    </row>
    <row r="11" spans="1:5" x14ac:dyDescent="0.2">
      <c r="A11" s="18" t="s">
        <v>67</v>
      </c>
      <c r="B11" s="19" t="s">
        <v>68</v>
      </c>
      <c r="C11" s="19" t="s">
        <v>69</v>
      </c>
      <c r="D11" s="19" t="s">
        <v>70</v>
      </c>
      <c r="E11" s="20" t="s">
        <v>71</v>
      </c>
    </row>
    <row r="12" spans="1:5" x14ac:dyDescent="0.2">
      <c r="A12" s="18" t="s">
        <v>72</v>
      </c>
      <c r="B12" s="19" t="s">
        <v>73</v>
      </c>
      <c r="C12" s="19" t="s">
        <v>74</v>
      </c>
      <c r="D12" s="19" t="s">
        <v>75</v>
      </c>
      <c r="E12" s="20" t="s">
        <v>76</v>
      </c>
    </row>
    <row r="13" spans="1:5" x14ac:dyDescent="0.2">
      <c r="A13" s="18" t="s">
        <v>77</v>
      </c>
      <c r="B13" s="19" t="s">
        <v>78</v>
      </c>
      <c r="C13" s="19" t="s">
        <v>79</v>
      </c>
      <c r="D13" s="19" t="s">
        <v>80</v>
      </c>
      <c r="E13" s="20" t="s">
        <v>81</v>
      </c>
    </row>
    <row r="14" spans="1:5" x14ac:dyDescent="0.2">
      <c r="A14" s="18" t="s">
        <v>82</v>
      </c>
      <c r="B14" s="19" t="s">
        <v>83</v>
      </c>
      <c r="C14" s="19" t="s">
        <v>84</v>
      </c>
      <c r="D14" s="19" t="s">
        <v>85</v>
      </c>
      <c r="E14" s="20" t="s">
        <v>86</v>
      </c>
    </row>
    <row r="15" spans="1:5" x14ac:dyDescent="0.2">
      <c r="A15" s="21" t="s">
        <v>87</v>
      </c>
      <c r="B15" s="22" t="s">
        <v>88</v>
      </c>
      <c r="C15" s="22" t="s">
        <v>89</v>
      </c>
      <c r="D15" s="22" t="s">
        <v>90</v>
      </c>
      <c r="E15" s="23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4"/>
  <sheetViews>
    <sheetView workbookViewId="0">
      <selection activeCell="C6" sqref="C6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4" t="s">
        <v>92</v>
      </c>
      <c r="B1" s="25" t="s">
        <v>93</v>
      </c>
      <c r="C1" s="26" t="s">
        <v>94</v>
      </c>
    </row>
    <row r="2" spans="1:3" x14ac:dyDescent="0.2">
      <c r="A2" s="18">
        <v>1001</v>
      </c>
      <c r="B2" s="19" t="s">
        <v>95</v>
      </c>
      <c r="C2" s="20">
        <v>263</v>
      </c>
    </row>
    <row r="3" spans="1:3" x14ac:dyDescent="0.2">
      <c r="A3" s="18">
        <v>1002</v>
      </c>
      <c r="B3" s="19" t="s">
        <v>96</v>
      </c>
      <c r="C3" s="20">
        <v>478</v>
      </c>
    </row>
    <row r="4" spans="1:3" x14ac:dyDescent="0.2">
      <c r="A4" s="18">
        <v>1003</v>
      </c>
      <c r="B4" s="19" t="s">
        <v>97</v>
      </c>
      <c r="C4" s="20">
        <v>404</v>
      </c>
    </row>
    <row r="5" spans="1:3" x14ac:dyDescent="0.2">
      <c r="A5" s="18">
        <v>1004</v>
      </c>
      <c r="B5" s="19" t="s">
        <v>98</v>
      </c>
      <c r="C5" s="20">
        <v>320</v>
      </c>
    </row>
    <row r="6" spans="1:3" x14ac:dyDescent="0.2">
      <c r="A6" s="18">
        <v>1005</v>
      </c>
      <c r="B6" s="19" t="s">
        <v>99</v>
      </c>
      <c r="C6" s="20">
        <v>355</v>
      </c>
    </row>
    <row r="7" spans="1:3" x14ac:dyDescent="0.2">
      <c r="A7" s="18">
        <v>1006</v>
      </c>
      <c r="B7" s="19" t="s">
        <v>100</v>
      </c>
      <c r="C7" s="20">
        <v>216</v>
      </c>
    </row>
    <row r="8" spans="1:3" x14ac:dyDescent="0.2">
      <c r="A8" s="18">
        <v>1007</v>
      </c>
      <c r="B8" s="19" t="s">
        <v>101</v>
      </c>
      <c r="C8" s="20">
        <v>297</v>
      </c>
    </row>
    <row r="9" spans="1:3" x14ac:dyDescent="0.2">
      <c r="A9" s="18">
        <v>1008</v>
      </c>
      <c r="B9" s="19" t="s">
        <v>102</v>
      </c>
      <c r="C9" s="20">
        <v>270</v>
      </c>
    </row>
    <row r="10" spans="1:3" x14ac:dyDescent="0.2">
      <c r="A10" s="18">
        <v>1009</v>
      </c>
      <c r="B10" s="19" t="s">
        <v>103</v>
      </c>
      <c r="C10" s="20">
        <v>281</v>
      </c>
    </row>
    <row r="11" spans="1:3" x14ac:dyDescent="0.2">
      <c r="A11" s="18">
        <v>1010</v>
      </c>
      <c r="B11" s="19" t="s">
        <v>104</v>
      </c>
      <c r="C11" s="20">
        <v>112</v>
      </c>
    </row>
    <row r="12" spans="1:3" x14ac:dyDescent="0.2">
      <c r="A12" s="18">
        <v>1011</v>
      </c>
      <c r="B12" s="19" t="s">
        <v>105</v>
      </c>
      <c r="C12" s="20">
        <v>175</v>
      </c>
    </row>
    <row r="13" spans="1:3" x14ac:dyDescent="0.2">
      <c r="A13" s="18">
        <v>1012</v>
      </c>
      <c r="B13" s="19" t="s">
        <v>106</v>
      </c>
      <c r="C13" s="20">
        <v>487</v>
      </c>
    </row>
    <row r="14" spans="1:3" x14ac:dyDescent="0.2">
      <c r="A14" s="21">
        <v>1013</v>
      </c>
      <c r="B14" s="22" t="s">
        <v>107</v>
      </c>
      <c r="C14" s="23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12</vt:i4>
      </vt:variant>
    </vt:vector>
  </HeadingPairs>
  <TitlesOfParts>
    <vt:vector size="18" baseType="lpstr">
      <vt:lpstr>Factura simple</vt:lpstr>
      <vt:lpstr>TD-Consulta-Factura</vt:lpstr>
      <vt:lpstr>Consulta Factura</vt:lpstr>
      <vt:lpstr>Detalle de facturas</vt:lpstr>
      <vt:lpstr>Clientes</vt:lpstr>
      <vt:lpstr>Productos</vt:lpstr>
      <vt:lpstr>'Consulta Factura'!ColumnTitleRegion1..B11.1</vt:lpstr>
      <vt:lpstr>ColumnTitleRegion1..B11.1</vt:lpstr>
      <vt:lpstr>'Consulta Factura'!Nombre_empresa</vt:lpstr>
      <vt:lpstr>Nombre_empresa</vt:lpstr>
      <vt:lpstr>'Consulta Factura'!TítuloColumna1</vt:lpstr>
      <vt:lpstr>TítuloColumna1</vt:lpstr>
      <vt:lpstr>'Consulta Factura'!TítuloFilaRegión1..D5</vt:lpstr>
      <vt:lpstr>TítuloFilaRegión1..D5</vt:lpstr>
      <vt:lpstr>'Consulta Factura'!Títulos_a_imprimir</vt:lpstr>
      <vt:lpstr>'Factura simple'!Títulos_a_imprimir</vt:lpstr>
      <vt:lpstr>'Consulta Factura'!valCliente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2025-03-06T05:15:05Z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