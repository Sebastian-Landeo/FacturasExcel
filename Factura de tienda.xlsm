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filterPrivacy="1" codeName="ThisWorkbook"/>
  <xr:revisionPtr revIDLastSave="0" documentId="13_ncr:1_{983D66EA-43B3-45E2-A035-05D7FB04632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 simple" sheetId="1" r:id="rId1"/>
    <sheet name="Detalle de facturas" sheetId="2" r:id="rId2"/>
    <sheet name="Clientes" sheetId="3" r:id="rId3"/>
    <sheet name="Productos" sheetId="4" r:id="rId4"/>
  </sheets>
  <definedNames>
    <definedName name="ColumnTitleRegion1..B11.1">'Factura simple'!$B$6</definedName>
    <definedName name="Nombre_empresa">'Factura simple'!$B$1</definedName>
    <definedName name="TítuloColumna1">Factura[[#Headers],[CÓDIGO]]</definedName>
    <definedName name="TítuloFilaRegión1..D5">'Factura simple'!$D$3</definedName>
    <definedName name="_xlnm.Print_Titles" localSheetId="0">'Factura simple'!$12:$12</definedName>
    <definedName name="valCliente">'Factura simple'!$B$7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C14" i="1"/>
  <c r="C15" i="1"/>
  <c r="C16" i="1"/>
  <c r="C17" i="1"/>
  <c r="C18" i="1"/>
  <c r="E19" i="1"/>
  <c r="E20" i="1"/>
  <c r="E21" i="1"/>
  <c r="E22" i="1"/>
  <c r="E23" i="1"/>
  <c r="C19" i="1"/>
  <c r="C20" i="1"/>
  <c r="C21" i="1"/>
  <c r="C22" i="1"/>
  <c r="C23" i="1"/>
  <c r="C13" i="1"/>
  <c r="I1" i="2" a="1"/>
  <c r="I1" i="2" s="1"/>
  <c r="E4" i="1" s="1"/>
  <c r="E13" i="1"/>
  <c r="B8" i="1"/>
  <c r="B11" i="1"/>
  <c r="B10" i="1"/>
  <c r="B9" i="1"/>
  <c r="B26" i="1"/>
  <c r="E3" i="1"/>
  <c r="E24" i="1" l="1"/>
</calcChain>
</file>

<file path=xl/sharedStrings.xml><?xml version="1.0" encoding="utf-8"?>
<sst xmlns="http://schemas.openxmlformats.org/spreadsheetml/2006/main" count="155" uniqueCount="112">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</sst>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  <numFmt numFmtId="172" formatCode="_-[$S/-280A]\ * #,##0.00_-;\-[$S/-280A]\ * #,##0.00_-;_-[$S/-280A]\ * &quot;-&quot;??_-;_-@_-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3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6" fillId="0" borderId="0" xfId="9">
      <alignment horizontal="right" vertical="center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6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3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14" fontId="0" fillId="0" borderId="0" xfId="0" applyNumberFormat="1">
      <alignment wrapText="1"/>
    </xf>
    <xf numFmtId="0" fontId="0" fillId="0" borderId="0" xfId="0">
      <alignment wrapText="1"/>
    </xf>
    <xf numFmtId="0" fontId="10" fillId="0" borderId="0" xfId="8">
      <alignment horizontal="center"/>
    </xf>
    <xf numFmtId="0" fontId="26" fillId="0" borderId="0" xfId="3" applyFo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horizontal="left"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>
      <alignment horizontal="left" vertical="top"/>
    </xf>
    <xf numFmtId="172" fontId="0" fillId="0" borderId="0" xfId="2" applyNumberFormat="1" applyFont="1" applyAlignment="1">
      <alignment horizontal="center" vertical="center"/>
    </xf>
    <xf numFmtId="172" fontId="1" fillId="2" borderId="1" xfId="0" applyNumberFormat="1" applyFont="1" applyFill="1" applyBorder="1" applyAlignment="1">
      <alignment horizontal="right" vertical="center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2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numFmt numFmtId="172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30"/>
      <tableStyleElement type="headerRow" dxfId="29"/>
      <tableStyleElement type="totalRow" dxfId="28"/>
      <tableStyleElement type="lastColumn" dxfId="27"/>
      <tableStyleElement type="secondColumnStripe" dxfId="26"/>
      <tableStyleElement type="lastHeaderCell" dxfId="25"/>
      <tableStyleElement type="lastTotalCell" dxfId="2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5</xdr:row>
      <xdr:rowOff>200025</xdr:rowOff>
    </xdr:from>
    <xdr:to>
      <xdr:col>5</xdr:col>
      <xdr:colOff>95250</xdr:colOff>
      <xdr:row>7</xdr:row>
      <xdr:rowOff>57150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543550" y="2209800"/>
          <a:ext cx="1695450" cy="42862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23" dataDxfId="22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5" dataCellStyle="Descripción"/>
    <tableColumn id="2" xr3:uid="{00000000-0010-0000-0000-000002000000}" name="DESCRIPCIÓN" dataDxfId="4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3" totalsRowDxfId="1" dataCellStyle="Descripción"/>
    <tableColumn id="3" xr3:uid="{00000000-0010-0000-0000-000003000000}" name="IMPORTE" totalsRowFunction="sum" dataDxfId="2" totalsRowDxfId="0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21" headerRowBorderDxfId="20" tableBorderDxfId="19" totalsRowBorderDxfId="18">
  <autoFilter ref="A1:E15" xr:uid="{03A37DF5-B82A-4B72-AA51-D7B5873ED477}"/>
  <tableColumns count="5">
    <tableColumn id="1" xr3:uid="{6174EC7A-0FCA-489F-B3AE-4EC7B76F2547}" name="NOMBRE" dataDxfId="17"/>
    <tableColumn id="2" xr3:uid="{DE676BB1-098F-40F2-9DBD-C33FF41C9A8A}" name="NOMBRE DE LA EMPRESA" dataDxfId="16"/>
    <tableColumn id="3" xr3:uid="{D8AEC6D1-F974-4B2D-A5DF-E2E2DFFAC40E}" name="DIRECCION" dataDxfId="15"/>
    <tableColumn id="4" xr3:uid="{72AECE3D-DDC3-420D-996F-43B899A95BD1}" name="CIUDAD, ESTADO, CP" dataDxfId="14"/>
    <tableColumn id="5" xr3:uid="{ACBD6E94-2082-4BFD-BB62-7C95E40871BB}" name="TELEFONO" dataDxfId="1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12" headerRowBorderDxfId="11" tableBorderDxfId="10" totalsRowBorderDxfId="9">
  <autoFilter ref="A1:C14" xr:uid="{714A6FBE-576D-464F-966E-A102EBF05A90}"/>
  <tableColumns count="3">
    <tableColumn id="1" xr3:uid="{200C2602-2494-4A03-B455-12F4CE877860}" name="CODIGO" dataDxfId="8"/>
    <tableColumn id="2" xr3:uid="{84E7AA73-4108-474A-B05D-33700A089366}" name="DESCRIPCION" dataDxfId="7"/>
    <tableColumn id="3" xr3:uid="{5CC43374-95DD-4BFB-AD80-41709AF17EA0}" name="P.UNITARIO" data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tabSelected="1" zoomScaleNormal="100" workbookViewId="0">
      <selection activeCell="J13" sqref="J13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37" t="s">
        <v>13</v>
      </c>
      <c r="C1" s="37"/>
      <c r="D1" s="36" t="s">
        <v>16</v>
      </c>
      <c r="E1" s="36"/>
    </row>
    <row r="2" spans="2:5" ht="46.5" customHeight="1" x14ac:dyDescent="0.2">
      <c r="B2" s="38" t="s">
        <v>14</v>
      </c>
      <c r="C2" s="38"/>
    </row>
    <row r="3" spans="2:5" ht="15" x14ac:dyDescent="0.25">
      <c r="B3" s="27"/>
      <c r="D3" s="6" t="s">
        <v>4</v>
      </c>
      <c r="E3" s="9">
        <f ca="1">TODAY()</f>
        <v>45721</v>
      </c>
    </row>
    <row r="4" spans="2:5" ht="32.25" customHeight="1" x14ac:dyDescent="0.2">
      <c r="B4" s="39" t="s">
        <v>11</v>
      </c>
      <c r="C4" s="40"/>
      <c r="D4" s="12" t="s">
        <v>12</v>
      </c>
      <c r="E4" s="13">
        <f ca="1">IF('Detalle de facturas'!I1="CONSECUTIVO",1,'Detalle de facturas'!I1+1)</f>
        <v>10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">
        <v>52</v>
      </c>
    </row>
    <row r="8" spans="2:5" ht="15" customHeight="1" x14ac:dyDescent="0.2">
      <c r="B8" t="str">
        <f>IFERROR(VLOOKUP(B7, tblClientes[], 2, ), "-")</f>
        <v>Empresa 7</v>
      </c>
    </row>
    <row r="9" spans="2:5" ht="15" customHeight="1" x14ac:dyDescent="0.2">
      <c r="B9" t="str">
        <f>IFERROR(VLOOKUP(B7, tblClientes[], 3, ), "-")</f>
        <v>Dirección 7</v>
      </c>
    </row>
    <row r="10" spans="2:5" ht="15" customHeight="1" x14ac:dyDescent="0.2">
      <c r="B10" t="str">
        <f>IFERROR(VLOOKUP(B7, tblClientes[], 4, ), "-")</f>
        <v>Ciudad 7</v>
      </c>
    </row>
    <row r="11" spans="2:5" ht="30" customHeight="1" x14ac:dyDescent="0.2">
      <c r="B11" s="3" t="str">
        <f>IFERROR(VLOOKUP(B7, tblClientes[], 5, ), "-")</f>
        <v>Teléfono 7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>
        <v>1005</v>
      </c>
      <c r="C13" s="29" t="str">
        <f>IFERROR(VLOOKUP(Factura[[#This Row],[CÓDIGO]],tblProductos[],2,), "")</f>
        <v>Producto 5</v>
      </c>
      <c r="D13" s="30">
        <v>5</v>
      </c>
      <c r="E13" s="41">
        <f>IFERROR(Factura[[#This Row],[CANTIDAD]]*VLOOKUP(Factura[[#This Row],[CÓDIGO]], tblProductos[], 3, ),"")</f>
        <v>1775</v>
      </c>
    </row>
    <row r="14" spans="2:5" ht="30" customHeight="1" x14ac:dyDescent="0.2">
      <c r="B14" s="28">
        <v>1004</v>
      </c>
      <c r="C14" s="29" t="str">
        <f>IFERROR(VLOOKUP(Factura[[#This Row],[CÓDIGO]],tblProductos[],2,), "")</f>
        <v>Producto 4</v>
      </c>
      <c r="D14" s="30">
        <v>3</v>
      </c>
      <c r="E14" s="41">
        <f>IFERROR(Factura[[#This Row],[CANTIDAD]]*VLOOKUP(Factura[[#This Row],[CÓDIGO]], tblProductos[], 3, ),"")</f>
        <v>960</v>
      </c>
    </row>
    <row r="15" spans="2:5" ht="30" customHeight="1" x14ac:dyDescent="0.2">
      <c r="B15" s="28"/>
      <c r="C15" s="29" t="str">
        <f>IFERROR(VLOOKUP(Factura[[#This Row],[CÓDIGO]],tblProductos[],2,), "")</f>
        <v/>
      </c>
      <c r="D15" s="30"/>
      <c r="E15" s="41" t="str">
        <f>IFERROR(Factura[[#This Row],[CANTIDAD]]*VLOOKUP(Factura[[#This Row],[CÓDIGO]], tblProductos[], 3, ),"")</f>
        <v/>
      </c>
    </row>
    <row r="16" spans="2:5" ht="30" customHeight="1" x14ac:dyDescent="0.2">
      <c r="B16" s="28"/>
      <c r="C16" s="29" t="str">
        <f>IFERROR(VLOOKUP(Factura[[#This Row],[CÓDIGO]],tblProductos[],2,), "")</f>
        <v/>
      </c>
      <c r="D16" s="30"/>
      <c r="E16" s="41" t="str">
        <f>IFERROR(Factura[[#This Row],[CANTIDAD]]*VLOOKUP(Factura[[#This Row],[CÓDIGO]], tblProductos[], 3, ),"")</f>
        <v/>
      </c>
    </row>
    <row r="17" spans="2:5" ht="30" customHeight="1" x14ac:dyDescent="0.2">
      <c r="B17" s="28"/>
      <c r="C17" s="29" t="str">
        <f>IFERROR(VLOOKUP(Factura[[#This Row],[CÓDIGO]],tblProductos[],2,), "")</f>
        <v/>
      </c>
      <c r="D17" s="30"/>
      <c r="E17" s="41" t="str">
        <f>IFERROR(Factura[[#This Row],[CANTIDAD]]*VLOOKUP(Factura[[#This Row],[CÓDIGO]], tblProductos[], 3, ),"")</f>
        <v/>
      </c>
    </row>
    <row r="18" spans="2:5" ht="30" customHeight="1" x14ac:dyDescent="0.2">
      <c r="B18" s="28"/>
      <c r="C18" s="29" t="str">
        <f>IFERROR(VLOOKUP(Factura[[#This Row],[CÓDIGO]],tblProductos[],2,), "")</f>
        <v/>
      </c>
      <c r="D18" s="30"/>
      <c r="E18" s="41" t="str">
        <f>IFERROR(Factura[[#This Row],[CANTIDAD]]*VLOOKUP(Factura[[#This Row],[CÓDIGO]], tblProductos[], 3, ),"")</f>
        <v/>
      </c>
    </row>
    <row r="19" spans="2:5" ht="30" customHeight="1" x14ac:dyDescent="0.2">
      <c r="B19" s="28"/>
      <c r="C19" s="29" t="str">
        <f>IFERROR(VLOOKUP(Factura[[#This Row],[CÓDIGO]],tblProductos[],2,), "")</f>
        <v/>
      </c>
      <c r="D19" s="30"/>
      <c r="E19" s="41" t="str">
        <f>IFERROR(Factura[[#This Row],[CANTIDAD]]*VLOOKUP(Factura[[#This Row],[CÓDIGO]], tblProductos[], 3, ),"")</f>
        <v/>
      </c>
    </row>
    <row r="20" spans="2:5" ht="30" customHeight="1" x14ac:dyDescent="0.2">
      <c r="B20" s="28"/>
      <c r="C20" s="29" t="str">
        <f>IFERROR(VLOOKUP(Factura[[#This Row],[CÓDIGO]],tblProductos[],2,), "")</f>
        <v/>
      </c>
      <c r="D20" s="30"/>
      <c r="E20" s="41" t="str">
        <f>IFERROR(Factura[[#This Row],[CANTIDAD]]*VLOOKUP(Factura[[#This Row],[CÓDIGO]], tblProductos[], 3, ),"")</f>
        <v/>
      </c>
    </row>
    <row r="21" spans="2:5" ht="30" customHeight="1" x14ac:dyDescent="0.2">
      <c r="B21" s="28"/>
      <c r="C21" s="29" t="str">
        <f>IFERROR(VLOOKUP(Factura[[#This Row],[CÓDIGO]],tblProductos[],2,), "")</f>
        <v/>
      </c>
      <c r="D21" s="30"/>
      <c r="E21" s="41" t="str">
        <f>IFERROR(Factura[[#This Row],[CANTIDAD]]*VLOOKUP(Factura[[#This Row],[CÓDIGO]], tblProductos[], 3, ),"")</f>
        <v/>
      </c>
    </row>
    <row r="22" spans="2:5" ht="30" customHeight="1" x14ac:dyDescent="0.2">
      <c r="B22" s="28"/>
      <c r="C22" s="29" t="str">
        <f>IFERROR(VLOOKUP(Factura[[#This Row],[CÓDIGO]],tblProductos[],2,), "")</f>
        <v/>
      </c>
      <c r="D22" s="30"/>
      <c r="E22" s="41" t="str">
        <f>IFERROR(Factura[[#This Row],[CANTIDAD]]*VLOOKUP(Factura[[#This Row],[CÓDIGO]], tblProductos[], 3, ),"")</f>
        <v/>
      </c>
    </row>
    <row r="23" spans="2:5" ht="30" customHeight="1" x14ac:dyDescent="0.2">
      <c r="B23" s="28"/>
      <c r="C23" s="29" t="str">
        <f>IFERROR(VLOOKUP(Factura[[#This Row],[CÓDIGO]],tblProductos[],2,), "")</f>
        <v/>
      </c>
      <c r="D23" s="30"/>
      <c r="E23" s="41" t="str">
        <f>IFERROR(Factura[[#This Row],[CANTIDAD]]*VLOOKUP(Factura[[#This Row],[CÓDIGO]], tblProductos[], 3, ),"")</f>
        <v/>
      </c>
    </row>
    <row r="24" spans="2:5" ht="30" customHeight="1" x14ac:dyDescent="0.2">
      <c r="D24" s="10" t="s">
        <v>8</v>
      </c>
      <c r="E24" s="42">
        <f>SUBTOTAL(109,Factura[IMPORTE])</f>
        <v>2735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4" t="str">
        <f>"Todos los cheques se extenderán a nombre de "&amp;Nombre_empresa&amp;""</f>
        <v>Todos los cheques se extenderán a nombre de R I P L E Y</v>
      </c>
      <c r="C26" s="34"/>
      <c r="D26" s="34"/>
      <c r="E26" s="34"/>
    </row>
    <row r="27" spans="2:5" ht="30" customHeight="1" x14ac:dyDescent="0.2">
      <c r="B27" s="34" t="s">
        <v>2</v>
      </c>
      <c r="C27" s="34"/>
      <c r="D27" s="34"/>
      <c r="E27" s="34"/>
    </row>
    <row r="28" spans="2:5" ht="30" customHeight="1" x14ac:dyDescent="0.25">
      <c r="B28" s="35" t="s">
        <v>3</v>
      </c>
      <c r="C28" s="35"/>
      <c r="D28" s="35"/>
      <c r="E28" s="35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88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21"/>
  <sheetViews>
    <sheetView workbookViewId="0">
      <selection activeCell="J16" sqref="J16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10" max="10" width="27.625" customWidth="1"/>
  </cols>
  <sheetData>
    <row r="1" spans="1:10" ht="28.5" x14ac:dyDescent="0.2">
      <c r="A1" s="31" t="s">
        <v>108</v>
      </c>
      <c r="B1" s="31" t="s">
        <v>109</v>
      </c>
      <c r="C1" s="31" t="s">
        <v>110</v>
      </c>
      <c r="D1" s="31" t="s">
        <v>92</v>
      </c>
      <c r="E1" s="31" t="s">
        <v>93</v>
      </c>
      <c r="F1" s="31" t="s">
        <v>10</v>
      </c>
      <c r="G1" s="31" t="s">
        <v>7</v>
      </c>
      <c r="I1" s="32">
        <f t="array" aca="1" ref="I1" ca="1">OFFSET(B1,COUNTA(A:A)-1,0,COUNTA(A:A),1)</f>
        <v>9</v>
      </c>
      <c r="J1" s="32" t="s">
        <v>111</v>
      </c>
    </row>
    <row r="2" spans="1:10" x14ac:dyDescent="0.2">
      <c r="A2" s="33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</row>
    <row r="3" spans="1:10" x14ac:dyDescent="0.2">
      <c r="A3" s="33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</row>
    <row r="4" spans="1:10" x14ac:dyDescent="0.2">
      <c r="A4" s="33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</row>
    <row r="5" spans="1:10" x14ac:dyDescent="0.2">
      <c r="A5" s="33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</row>
    <row r="6" spans="1:10" x14ac:dyDescent="0.2">
      <c r="A6" s="33">
        <v>45721</v>
      </c>
      <c r="B6">
        <v>3</v>
      </c>
      <c r="C6" t="s">
        <v>77</v>
      </c>
      <c r="D6">
        <v>1012</v>
      </c>
      <c r="E6" t="s">
        <v>106</v>
      </c>
      <c r="F6">
        <v>50</v>
      </c>
      <c r="G6">
        <v>24350</v>
      </c>
    </row>
    <row r="7" spans="1:10" x14ac:dyDescent="0.2">
      <c r="A7" s="33">
        <v>45721</v>
      </c>
      <c r="B7">
        <v>3</v>
      </c>
      <c r="C7" t="s">
        <v>77</v>
      </c>
      <c r="D7">
        <v>1001</v>
      </c>
      <c r="E7" t="s">
        <v>95</v>
      </c>
      <c r="G7">
        <v>0</v>
      </c>
    </row>
    <row r="8" spans="1:10" x14ac:dyDescent="0.2">
      <c r="A8" s="33">
        <v>45721</v>
      </c>
      <c r="B8">
        <v>3</v>
      </c>
      <c r="C8" t="s">
        <v>77</v>
      </c>
      <c r="D8">
        <v>1008</v>
      </c>
      <c r="E8" t="s">
        <v>102</v>
      </c>
      <c r="G8">
        <v>0</v>
      </c>
    </row>
    <row r="9" spans="1:10" x14ac:dyDescent="0.2">
      <c r="A9" s="33">
        <v>45721</v>
      </c>
      <c r="B9">
        <v>4</v>
      </c>
      <c r="C9" t="s">
        <v>77</v>
      </c>
      <c r="D9">
        <v>1012</v>
      </c>
      <c r="E9" t="s">
        <v>106</v>
      </c>
      <c r="F9">
        <v>50</v>
      </c>
      <c r="G9">
        <v>24350</v>
      </c>
    </row>
    <row r="10" spans="1:10" x14ac:dyDescent="0.2">
      <c r="A10" s="33">
        <v>45721</v>
      </c>
      <c r="B10">
        <v>4</v>
      </c>
      <c r="C10" t="s">
        <v>77</v>
      </c>
      <c r="D10">
        <v>1001</v>
      </c>
      <c r="E10" t="s">
        <v>95</v>
      </c>
      <c r="G10">
        <v>0</v>
      </c>
    </row>
    <row r="11" spans="1:10" x14ac:dyDescent="0.2">
      <c r="A11" s="33">
        <v>45721</v>
      </c>
      <c r="B11">
        <v>4</v>
      </c>
      <c r="C11" t="s">
        <v>77</v>
      </c>
      <c r="D11">
        <v>1008</v>
      </c>
      <c r="E11" t="s">
        <v>102</v>
      </c>
      <c r="G11">
        <v>0</v>
      </c>
    </row>
    <row r="12" spans="1:10" x14ac:dyDescent="0.2">
      <c r="A12" s="33">
        <v>45721</v>
      </c>
      <c r="B12">
        <v>5</v>
      </c>
      <c r="C12" t="s">
        <v>77</v>
      </c>
      <c r="D12">
        <v>1012</v>
      </c>
      <c r="E12" t="s">
        <v>106</v>
      </c>
      <c r="F12">
        <v>50</v>
      </c>
      <c r="G12">
        <v>24350</v>
      </c>
    </row>
    <row r="13" spans="1:10" x14ac:dyDescent="0.2">
      <c r="A13" s="33">
        <v>45721</v>
      </c>
      <c r="B13">
        <v>5</v>
      </c>
      <c r="C13" t="s">
        <v>77</v>
      </c>
      <c r="D13">
        <v>1001</v>
      </c>
      <c r="E13" t="s">
        <v>95</v>
      </c>
      <c r="G13">
        <v>0</v>
      </c>
    </row>
    <row r="14" spans="1:10" x14ac:dyDescent="0.2">
      <c r="A14" s="33">
        <v>45721</v>
      </c>
      <c r="B14">
        <v>5</v>
      </c>
      <c r="C14" t="s">
        <v>77</v>
      </c>
      <c r="D14">
        <v>1008</v>
      </c>
      <c r="E14" t="s">
        <v>102</v>
      </c>
      <c r="G14">
        <v>0</v>
      </c>
    </row>
    <row r="15" spans="1:10" x14ac:dyDescent="0.2">
      <c r="A15" s="33">
        <v>45721</v>
      </c>
      <c r="B15">
        <v>6</v>
      </c>
      <c r="C15" t="s">
        <v>77</v>
      </c>
      <c r="D15">
        <v>1012</v>
      </c>
      <c r="E15" t="s">
        <v>106</v>
      </c>
      <c r="F15">
        <v>50</v>
      </c>
      <c r="G15">
        <v>24350</v>
      </c>
    </row>
    <row r="16" spans="1:10" x14ac:dyDescent="0.2">
      <c r="A16" s="33">
        <v>45721</v>
      </c>
      <c r="B16">
        <v>7</v>
      </c>
      <c r="C16" t="s">
        <v>77</v>
      </c>
      <c r="D16">
        <v>1012</v>
      </c>
      <c r="E16" t="s">
        <v>106</v>
      </c>
      <c r="F16">
        <v>50</v>
      </c>
      <c r="G16">
        <v>24350</v>
      </c>
    </row>
    <row r="17" spans="1:7" x14ac:dyDescent="0.2">
      <c r="A17" s="33">
        <v>45721</v>
      </c>
      <c r="B17">
        <v>8</v>
      </c>
      <c r="C17" t="s">
        <v>72</v>
      </c>
      <c r="D17">
        <v>1006</v>
      </c>
      <c r="E17" t="s">
        <v>100</v>
      </c>
      <c r="F17">
        <v>1</v>
      </c>
      <c r="G17">
        <v>216</v>
      </c>
    </row>
    <row r="18" spans="1:7" x14ac:dyDescent="0.2">
      <c r="A18" s="33">
        <v>45721</v>
      </c>
      <c r="B18">
        <v>8</v>
      </c>
      <c r="C18" t="s">
        <v>72</v>
      </c>
      <c r="D18">
        <v>1011</v>
      </c>
      <c r="E18" t="s">
        <v>105</v>
      </c>
      <c r="F18">
        <v>12</v>
      </c>
      <c r="G18">
        <v>2100</v>
      </c>
    </row>
    <row r="19" spans="1:7" x14ac:dyDescent="0.2">
      <c r="A19" s="33">
        <v>45721</v>
      </c>
      <c r="B19">
        <v>9</v>
      </c>
      <c r="C19" t="s">
        <v>52</v>
      </c>
      <c r="D19">
        <v>1005</v>
      </c>
      <c r="E19" t="s">
        <v>99</v>
      </c>
      <c r="F19">
        <v>5</v>
      </c>
      <c r="G19">
        <v>1775</v>
      </c>
    </row>
    <row r="20" spans="1:7" x14ac:dyDescent="0.2">
      <c r="A20" s="33">
        <v>45721</v>
      </c>
      <c r="B20">
        <v>9</v>
      </c>
      <c r="C20" t="s">
        <v>52</v>
      </c>
      <c r="D20">
        <v>1004</v>
      </c>
      <c r="E20" t="s">
        <v>98</v>
      </c>
      <c r="F20">
        <v>3</v>
      </c>
      <c r="G20">
        <v>960</v>
      </c>
    </row>
    <row r="21" spans="1:7" x14ac:dyDescent="0.2">
      <c r="A21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5" t="s">
        <v>17</v>
      </c>
      <c r="B1" s="16" t="s">
        <v>18</v>
      </c>
      <c r="C1" s="16" t="s">
        <v>19</v>
      </c>
      <c r="D1" s="16" t="s">
        <v>20</v>
      </c>
      <c r="E1" s="17" t="s">
        <v>21</v>
      </c>
    </row>
    <row r="2" spans="1:5" x14ac:dyDescent="0.2">
      <c r="A2" s="18" t="s">
        <v>22</v>
      </c>
      <c r="B2" s="19" t="s">
        <v>23</v>
      </c>
      <c r="C2" s="19" t="s">
        <v>24</v>
      </c>
      <c r="D2" s="19" t="s">
        <v>25</v>
      </c>
      <c r="E2" s="20" t="s">
        <v>26</v>
      </c>
    </row>
    <row r="3" spans="1:5" x14ac:dyDescent="0.2">
      <c r="A3" s="18" t="s">
        <v>27</v>
      </c>
      <c r="B3" s="19" t="s">
        <v>28</v>
      </c>
      <c r="C3" s="19" t="s">
        <v>29</v>
      </c>
      <c r="D3" s="19" t="s">
        <v>30</v>
      </c>
      <c r="E3" s="20" t="s">
        <v>31</v>
      </c>
    </row>
    <row r="4" spans="1:5" x14ac:dyDescent="0.2">
      <c r="A4" s="18" t="s">
        <v>32</v>
      </c>
      <c r="B4" s="19" t="s">
        <v>33</v>
      </c>
      <c r="C4" s="19" t="s">
        <v>34</v>
      </c>
      <c r="D4" s="19" t="s">
        <v>35</v>
      </c>
      <c r="E4" s="20" t="s">
        <v>36</v>
      </c>
    </row>
    <row r="5" spans="1:5" x14ac:dyDescent="0.2">
      <c r="A5" s="18" t="s">
        <v>37</v>
      </c>
      <c r="B5" s="19" t="s">
        <v>38</v>
      </c>
      <c r="C5" s="19" t="s">
        <v>39</v>
      </c>
      <c r="D5" s="19" t="s">
        <v>40</v>
      </c>
      <c r="E5" s="20" t="s">
        <v>41</v>
      </c>
    </row>
    <row r="6" spans="1:5" x14ac:dyDescent="0.2">
      <c r="A6" s="18" t="s">
        <v>42</v>
      </c>
      <c r="B6" s="19" t="s">
        <v>43</v>
      </c>
      <c r="C6" s="19" t="s">
        <v>44</v>
      </c>
      <c r="D6" s="19" t="s">
        <v>45</v>
      </c>
      <c r="E6" s="20" t="s">
        <v>46</v>
      </c>
    </row>
    <row r="7" spans="1:5" x14ac:dyDescent="0.2">
      <c r="A7" s="18" t="s">
        <v>47</v>
      </c>
      <c r="B7" s="19" t="s">
        <v>48</v>
      </c>
      <c r="C7" s="19" t="s">
        <v>49</v>
      </c>
      <c r="D7" s="19" t="s">
        <v>50</v>
      </c>
      <c r="E7" s="20" t="s">
        <v>51</v>
      </c>
    </row>
    <row r="8" spans="1:5" x14ac:dyDescent="0.2">
      <c r="A8" s="18" t="s">
        <v>52</v>
      </c>
      <c r="B8" s="19" t="s">
        <v>53</v>
      </c>
      <c r="C8" s="19" t="s">
        <v>54</v>
      </c>
      <c r="D8" s="19" t="s">
        <v>55</v>
      </c>
      <c r="E8" s="20" t="s">
        <v>56</v>
      </c>
    </row>
    <row r="9" spans="1:5" x14ac:dyDescent="0.2">
      <c r="A9" s="18" t="s">
        <v>57</v>
      </c>
      <c r="B9" s="19" t="s">
        <v>58</v>
      </c>
      <c r="C9" s="19" t="s">
        <v>59</v>
      </c>
      <c r="D9" s="19" t="s">
        <v>60</v>
      </c>
      <c r="E9" s="20" t="s">
        <v>61</v>
      </c>
    </row>
    <row r="10" spans="1:5" x14ac:dyDescent="0.2">
      <c r="A10" s="18" t="s">
        <v>62</v>
      </c>
      <c r="B10" s="19" t="s">
        <v>63</v>
      </c>
      <c r="C10" s="19" t="s">
        <v>64</v>
      </c>
      <c r="D10" s="19" t="s">
        <v>65</v>
      </c>
      <c r="E10" s="20" t="s">
        <v>66</v>
      </c>
    </row>
    <row r="11" spans="1:5" x14ac:dyDescent="0.2">
      <c r="A11" s="18" t="s">
        <v>67</v>
      </c>
      <c r="B11" s="19" t="s">
        <v>68</v>
      </c>
      <c r="C11" s="19" t="s">
        <v>69</v>
      </c>
      <c r="D11" s="19" t="s">
        <v>70</v>
      </c>
      <c r="E11" s="20" t="s">
        <v>71</v>
      </c>
    </row>
    <row r="12" spans="1:5" x14ac:dyDescent="0.2">
      <c r="A12" s="18" t="s">
        <v>72</v>
      </c>
      <c r="B12" s="19" t="s">
        <v>73</v>
      </c>
      <c r="C12" s="19" t="s">
        <v>74</v>
      </c>
      <c r="D12" s="19" t="s">
        <v>75</v>
      </c>
      <c r="E12" s="20" t="s">
        <v>76</v>
      </c>
    </row>
    <row r="13" spans="1:5" x14ac:dyDescent="0.2">
      <c r="A13" s="18" t="s">
        <v>77</v>
      </c>
      <c r="B13" s="19" t="s">
        <v>78</v>
      </c>
      <c r="C13" s="19" t="s">
        <v>79</v>
      </c>
      <c r="D13" s="19" t="s">
        <v>80</v>
      </c>
      <c r="E13" s="20" t="s">
        <v>81</v>
      </c>
    </row>
    <row r="14" spans="1:5" x14ac:dyDescent="0.2">
      <c r="A14" s="18" t="s">
        <v>82</v>
      </c>
      <c r="B14" s="19" t="s">
        <v>83</v>
      </c>
      <c r="C14" s="19" t="s">
        <v>84</v>
      </c>
      <c r="D14" s="19" t="s">
        <v>85</v>
      </c>
      <c r="E14" s="20" t="s">
        <v>86</v>
      </c>
    </row>
    <row r="15" spans="1:5" x14ac:dyDescent="0.2">
      <c r="A15" s="21" t="s">
        <v>87</v>
      </c>
      <c r="B15" s="22" t="s">
        <v>88</v>
      </c>
      <c r="C15" s="22" t="s">
        <v>89</v>
      </c>
      <c r="D15" s="22" t="s">
        <v>90</v>
      </c>
      <c r="E15" s="23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4"/>
  <sheetViews>
    <sheetView workbookViewId="0">
      <selection activeCell="C6" sqref="C6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4" t="s">
        <v>92</v>
      </c>
      <c r="B1" s="25" t="s">
        <v>93</v>
      </c>
      <c r="C1" s="26" t="s">
        <v>94</v>
      </c>
    </row>
    <row r="2" spans="1:3" x14ac:dyDescent="0.2">
      <c r="A2" s="18">
        <v>1001</v>
      </c>
      <c r="B2" s="19" t="s">
        <v>95</v>
      </c>
      <c r="C2" s="20">
        <v>263</v>
      </c>
    </row>
    <row r="3" spans="1:3" x14ac:dyDescent="0.2">
      <c r="A3" s="18">
        <v>1002</v>
      </c>
      <c r="B3" s="19" t="s">
        <v>96</v>
      </c>
      <c r="C3" s="20">
        <v>478</v>
      </c>
    </row>
    <row r="4" spans="1:3" x14ac:dyDescent="0.2">
      <c r="A4" s="18">
        <v>1003</v>
      </c>
      <c r="B4" s="19" t="s">
        <v>97</v>
      </c>
      <c r="C4" s="20">
        <v>404</v>
      </c>
    </row>
    <row r="5" spans="1:3" x14ac:dyDescent="0.2">
      <c r="A5" s="18">
        <v>1004</v>
      </c>
      <c r="B5" s="19" t="s">
        <v>98</v>
      </c>
      <c r="C5" s="20">
        <v>320</v>
      </c>
    </row>
    <row r="6" spans="1:3" x14ac:dyDescent="0.2">
      <c r="A6" s="18">
        <v>1005</v>
      </c>
      <c r="B6" s="19" t="s">
        <v>99</v>
      </c>
      <c r="C6" s="20">
        <v>355</v>
      </c>
    </row>
    <row r="7" spans="1:3" x14ac:dyDescent="0.2">
      <c r="A7" s="18">
        <v>1006</v>
      </c>
      <c r="B7" s="19" t="s">
        <v>100</v>
      </c>
      <c r="C7" s="20">
        <v>216</v>
      </c>
    </row>
    <row r="8" spans="1:3" x14ac:dyDescent="0.2">
      <c r="A8" s="18">
        <v>1007</v>
      </c>
      <c r="B8" s="19" t="s">
        <v>101</v>
      </c>
      <c r="C8" s="20">
        <v>297</v>
      </c>
    </row>
    <row r="9" spans="1:3" x14ac:dyDescent="0.2">
      <c r="A9" s="18">
        <v>1008</v>
      </c>
      <c r="B9" s="19" t="s">
        <v>102</v>
      </c>
      <c r="C9" s="20">
        <v>270</v>
      </c>
    </row>
    <row r="10" spans="1:3" x14ac:dyDescent="0.2">
      <c r="A10" s="18">
        <v>1009</v>
      </c>
      <c r="B10" s="19" t="s">
        <v>103</v>
      </c>
      <c r="C10" s="20">
        <v>281</v>
      </c>
    </row>
    <row r="11" spans="1:3" x14ac:dyDescent="0.2">
      <c r="A11" s="18">
        <v>1010</v>
      </c>
      <c r="B11" s="19" t="s">
        <v>104</v>
      </c>
      <c r="C11" s="20">
        <v>112</v>
      </c>
    </row>
    <row r="12" spans="1:3" x14ac:dyDescent="0.2">
      <c r="A12" s="18">
        <v>1011</v>
      </c>
      <c r="B12" s="19" t="s">
        <v>105</v>
      </c>
      <c r="C12" s="20">
        <v>175</v>
      </c>
    </row>
    <row r="13" spans="1:3" x14ac:dyDescent="0.2">
      <c r="A13" s="18">
        <v>1012</v>
      </c>
      <c r="B13" s="19" t="s">
        <v>106</v>
      </c>
      <c r="C13" s="20">
        <v>487</v>
      </c>
    </row>
    <row r="14" spans="1:3" x14ac:dyDescent="0.2">
      <c r="A14" s="21">
        <v>1013</v>
      </c>
      <c r="B14" s="22" t="s">
        <v>107</v>
      </c>
      <c r="C14" s="23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 simple</vt:lpstr>
      <vt:lpstr>Detalle de facturas</vt:lpstr>
      <vt:lpstr>Clientes</vt:lpstr>
      <vt:lpstr>Productos</vt:lpstr>
      <vt:lpstr>ColumnTitleRegion1..B11.1</vt:lpstr>
      <vt:lpstr>Nombre_empresa</vt:lpstr>
      <vt:lpstr>TítuloColumna1</vt:lpstr>
      <vt:lpstr>TítuloFilaRegión1..D5</vt:lpstr>
      <vt:lpstr>'Factura simple'!Títulos_a_imprimir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2025-03-05T16:06:46Z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